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olesale Frozen" sheetId="1" r:id="rId5"/>
    <sheet state="visible" name="Sheet1" sheetId="2" r:id="rId6"/>
    <sheet state="visible" name="Sheet2" sheetId="3" r:id="rId7"/>
    <sheet state="visible" name="Budget" sheetId="4" r:id="rId8"/>
  </sheets>
  <definedNames/>
  <calcPr/>
</workbook>
</file>

<file path=xl/sharedStrings.xml><?xml version="1.0" encoding="utf-8"?>
<sst xmlns="http://schemas.openxmlformats.org/spreadsheetml/2006/main" count="150" uniqueCount="128">
  <si>
    <t>Product</t>
  </si>
  <si>
    <t>807 Cost</t>
  </si>
  <si>
    <t>Retailer Cost</t>
  </si>
  <si>
    <t>Suggested Retail Price</t>
  </si>
  <si>
    <t xml:space="preserve">Sourdough - Sliced, Frozen </t>
  </si>
  <si>
    <t xml:space="preserve">Cinnamon Raisin Sourdough - Sliced, Frozen </t>
  </si>
  <si>
    <t>Waffles, Frozen</t>
  </si>
  <si>
    <t xml:space="preserve">Pizza, Frozen </t>
  </si>
  <si>
    <t xml:space="preserve">Beef Patties, Frozen </t>
  </si>
  <si>
    <t>$9.00/5</t>
  </si>
  <si>
    <t xml:space="preserve">BBQ Beef Patties, Frozen </t>
  </si>
  <si>
    <t xml:space="preserve">Pepperettes, Frozen </t>
  </si>
  <si>
    <t>$8.00/5</t>
  </si>
  <si>
    <t xml:space="preserve">Beer stix, Frozen </t>
  </si>
  <si>
    <t xml:space="preserve">Jerky stix, Frozen </t>
  </si>
  <si>
    <t>$7.00/5</t>
  </si>
  <si>
    <t xml:space="preserve">Breakfast Sausage Patties, Frozen </t>
  </si>
  <si>
    <t xml:space="preserve">Breakfast Sausage links, Frozen </t>
  </si>
  <si>
    <t>$9.5/365gr</t>
  </si>
  <si>
    <t xml:space="preserve">Smokies, Frozen </t>
  </si>
  <si>
    <t>$9.00/4</t>
  </si>
  <si>
    <t xml:space="preserve">Cheese smokies, Frozen </t>
  </si>
  <si>
    <t>$9.50/4</t>
  </si>
  <si>
    <t xml:space="preserve">Side Bacon, Frozen </t>
  </si>
  <si>
    <t>$8/lb</t>
  </si>
  <si>
    <t>Ground Beef, Frozen</t>
  </si>
  <si>
    <t>$7.50/lb</t>
  </si>
  <si>
    <t xml:space="preserve">Boneless Ham Steak, Frozen </t>
  </si>
  <si>
    <t>$10.43/lb</t>
  </si>
  <si>
    <t>Bison Patties</t>
  </si>
  <si>
    <t>$16/pkg</t>
  </si>
  <si>
    <t>Whole Chicken, Frozen</t>
  </si>
  <si>
    <t>$5.00/lb</t>
  </si>
  <si>
    <t>Wholesale 2023-24</t>
  </si>
  <si>
    <t>NOTES</t>
  </si>
  <si>
    <t>Thunder Oak Gouda</t>
  </si>
  <si>
    <t>contacted</t>
  </si>
  <si>
    <t>Slate River Dairy</t>
  </si>
  <si>
    <t>list</t>
  </si>
  <si>
    <t>Debruins Greenhouse</t>
  </si>
  <si>
    <t>Honey</t>
  </si>
  <si>
    <t>none @ scale</t>
  </si>
  <si>
    <t>Need to increase capacity - work with Reagan to develop bee hive course for families to spin off his childrens' program</t>
  </si>
  <si>
    <t>Gerbers Eggs</t>
  </si>
  <si>
    <t>L-XL, Free Run, Local</t>
  </si>
  <si>
    <t>15 per case</t>
  </si>
  <si>
    <t>Retail: $6/dozen</t>
  </si>
  <si>
    <t>Black Barn Farms</t>
  </si>
  <si>
    <t>$6/lb for pork</t>
  </si>
  <si>
    <t>Can scale with partner farms</t>
  </si>
  <si>
    <t>$7/lb for beef.</t>
  </si>
  <si>
    <t xml:space="preserve">Waitlisted. Ground beef available November 2023 </t>
  </si>
  <si>
    <t>Sidders Maple Syrup</t>
  </si>
  <si>
    <t>1L</t>
  </si>
  <si>
    <t>12 per case</t>
  </si>
  <si>
    <t>Wholesales to 6 tourist camps and 4 stores</t>
  </si>
  <si>
    <t>500ml</t>
  </si>
  <si>
    <t>He gauges the market in the spring to get a feel for how many small sizes he needs</t>
  </si>
  <si>
    <t>250ml</t>
  </si>
  <si>
    <t>Nautical Coffee</t>
  </si>
  <si>
    <t>Cloverbelt Country Meats</t>
  </si>
  <si>
    <t>Rivers' Edge Farms</t>
  </si>
  <si>
    <t>Contacted</t>
  </si>
  <si>
    <t>RCFC - granola</t>
  </si>
  <si>
    <t xml:space="preserve">1lb bags </t>
  </si>
  <si>
    <t>10 per case</t>
  </si>
  <si>
    <t>Retail $10/bag</t>
  </si>
  <si>
    <t>Rockfront Family Farms</t>
  </si>
  <si>
    <t>List</t>
  </si>
  <si>
    <t>Quantity</t>
  </si>
  <si>
    <t>Packed</t>
  </si>
  <si>
    <t>Price</t>
  </si>
  <si>
    <t>Retail Price</t>
  </si>
  <si>
    <t>Restaurant Price</t>
  </si>
  <si>
    <t>Living Lettuce</t>
  </si>
  <si>
    <t>each</t>
  </si>
  <si>
    <t>Living Basil</t>
  </si>
  <si>
    <t>Basil</t>
  </si>
  <si>
    <t>4 oz bag</t>
  </si>
  <si>
    <t>1oz bag</t>
  </si>
  <si>
    <t>Limited</t>
  </si>
  <si>
    <t>Red Grape Tomatoes</t>
  </si>
  <si>
    <t>600 g Clamshell</t>
  </si>
  <si>
    <t>Mixed Grape Tomatoes</t>
  </si>
  <si>
    <t>Red Cherry Tomatoes</t>
  </si>
  <si>
    <t>Mixed Cherry Tomatoes</t>
  </si>
  <si>
    <t>Mixed Cocktail Tomatoes</t>
  </si>
  <si>
    <t>Yellow TOV</t>
  </si>
  <si>
    <t>15 lbs/tray</t>
  </si>
  <si>
    <t>Red TOV</t>
  </si>
  <si>
    <t>VERY Limited</t>
  </si>
  <si>
    <t>Beefsteak Tomatoes -LAST WEEK</t>
  </si>
  <si>
    <t>Whole Sale price</t>
  </si>
  <si>
    <t>3.8% whole milk in 1 Liter bottle</t>
  </si>
  <si>
    <t>3.8 % whole milk in 1.89 Liter bottle</t>
  </si>
  <si>
    <t>0% skim milk in 1 Liter bottle</t>
  </si>
  <si>
    <t>0% skim milk in 1.89 Liter bottle</t>
  </si>
  <si>
    <t>2% milk in 1.89 Liter bottle</t>
  </si>
  <si>
    <t>2% milk in 1 Liter bottle</t>
  </si>
  <si>
    <t>2% milk in 1/2 Liter bottle</t>
  </si>
  <si>
    <t>2% milk in 355 ml bottle</t>
  </si>
  <si>
    <t>Yogurt 1Kg in a 1L bottle</t>
  </si>
  <si>
    <t>Yogurt in 500 gram bottle</t>
  </si>
  <si>
    <t>Cocoa Milk in 1.89 liter bottle</t>
  </si>
  <si>
    <t>Cocoa Milk in 1 liter bottle</t>
  </si>
  <si>
    <t>Cocoa Milk in 500ml bottle</t>
  </si>
  <si>
    <t>Cocoa milk in 355 ml Bottle</t>
  </si>
  <si>
    <t>35% Cream in 500ml bottle</t>
  </si>
  <si>
    <t>35% Cream in 1L bottle</t>
  </si>
  <si>
    <t>Kefir 1L in a 1 Liter bottle</t>
  </si>
  <si>
    <t>Cultured butter 250 gram</t>
  </si>
  <si>
    <t>Cultured butter 400 gram</t>
  </si>
  <si>
    <t>Salted butter 250 gram</t>
  </si>
  <si>
    <t>Salted butter 400 gram</t>
  </si>
  <si>
    <t>Buttermilk in Lire bottle</t>
  </si>
  <si>
    <t>Buttermilk in 1/2 Liter bottle</t>
  </si>
  <si>
    <t>Blueberrybuttermilk in Liter bottle</t>
  </si>
  <si>
    <t>Blueberrybuttermilk in 355 ml bottle</t>
  </si>
  <si>
    <t>Eggnog in 1,89 litre bottle</t>
  </si>
  <si>
    <t>Eggnog in 1Litre bottle</t>
  </si>
  <si>
    <t>Eggnog in ½ litre bottle</t>
  </si>
  <si>
    <t>Greek Yogurt 200 gram ( and strained Y)</t>
  </si>
  <si>
    <t>Greek Yogurt 450 gram ( and strained Y)</t>
  </si>
  <si>
    <t>Initials of Purchaser’s authorized Signatory: _____________</t>
  </si>
  <si>
    <t>Delivery Driver</t>
  </si>
  <si>
    <t xml:space="preserve">Thunder Bay - Dryden </t>
  </si>
  <si>
    <t>Gas</t>
  </si>
  <si>
    <t>Truck Rental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</si>
</sst>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_(&quot;$&quot;* #,##0.00_);_(&quot;$&quot;* \(#,##0.00\);_(&quot;$&quot;* &quot;-&quot;??_);_(@_)"/>
  </numFmts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sz val="11.0"/>
      <color theme="1"/>
      <name val="Pontano Sans"/>
    </font>
    <font>
      <sz val="11.0"/>
      <color theme="1"/>
      <name val="Pontano Sans"/>
    </font>
    <font>
      <b/>
      <u/>
      <sz val="11.0"/>
      <color rgb="FF0000FF"/>
      <name val="Pontano Sans"/>
    </font>
    <font>
      <b/>
      <sz val="11.0"/>
      <color rgb="FF222222"/>
      <name val="Pontano Sans"/>
    </font>
    <font>
      <u/>
      <sz val="11.0"/>
      <color rgb="FF0000FF"/>
      <name val="Pontano Sans"/>
    </font>
    <font>
      <color rgb="FF222222"/>
      <name val="Arial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00B050"/>
      <name val="Calibri"/>
    </font>
    <font>
      <sz val="11.0"/>
      <color rgb="FF00B0F0"/>
      <name val="Calibri"/>
    </font>
    <font>
      <sz val="11.0"/>
      <color rgb="FF984806"/>
      <name val="Calibri"/>
    </font>
    <font>
      <sz val="11.0"/>
      <color rgb="FFFF00FF"/>
      <name val="Calibri"/>
    </font>
    <font>
      <sz val="11.0"/>
      <color rgb="FFFF9900"/>
      <name val="Calibri"/>
    </font>
    <font>
      <sz val="11.0"/>
      <color rgb="FF0000FF"/>
      <name val="Calibri"/>
    </font>
    <font>
      <sz val="11.0"/>
      <color rgb="FFFFFF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2" fontId="3" numFmtId="0" xfId="0" applyAlignment="1" applyBorder="1" applyFill="1" applyFont="1">
      <alignment horizontal="left" readingOrder="0"/>
    </xf>
    <xf borderId="1" fillId="0" fontId="2" numFmtId="164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2" fontId="7" numFmtId="0" xfId="0" applyAlignment="1" applyFont="1">
      <alignment readingOrder="0"/>
    </xf>
    <xf borderId="0" fillId="0" fontId="4" numFmtId="0" xfId="0" applyFont="1"/>
    <xf borderId="0" fillId="0" fontId="4" numFmtId="165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0" fontId="10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right" readingOrder="0"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shrinkToFit="0" vertical="bottom" wrapText="1"/>
    </xf>
    <xf borderId="0" fillId="0" fontId="13" numFmtId="0" xfId="0" applyAlignment="1" applyFont="1">
      <alignment horizontal="left" readingOrder="0" shrinkToFit="0" wrapText="1"/>
    </xf>
    <xf borderId="0" fillId="0" fontId="13" numFmtId="0" xfId="0" applyAlignment="1" applyFont="1">
      <alignment horizontal="center" readingOrder="0" shrinkToFit="0" wrapText="1"/>
    </xf>
    <xf borderId="0" fillId="0" fontId="13" numFmtId="164" xfId="0" applyAlignment="1" applyFont="1" applyNumberFormat="1">
      <alignment horizontal="right" readingOrder="0" shrinkToFit="0" wrapText="1"/>
    </xf>
    <xf borderId="0" fillId="0" fontId="2" numFmtId="164" xfId="0" applyFont="1" applyNumberFormat="1"/>
    <xf borderId="0" fillId="0" fontId="2" numFmtId="166" xfId="0" applyFont="1" applyNumberFormat="1"/>
    <xf borderId="1" fillId="0" fontId="14" numFmtId="0" xfId="0" applyAlignment="1" applyBorder="1" applyFont="1">
      <alignment horizontal="left" readingOrder="0" shrinkToFit="0" wrapText="1"/>
    </xf>
    <xf borderId="1" fillId="0" fontId="13" numFmtId="0" xfId="0" applyAlignment="1" applyBorder="1" applyFont="1">
      <alignment horizontal="left" readingOrder="0" shrinkToFit="0" wrapText="1"/>
    </xf>
    <xf borderId="1" fillId="0" fontId="13" numFmtId="164" xfId="0" applyAlignment="1" applyBorder="1" applyFont="1" applyNumberFormat="1">
      <alignment horizontal="right" readingOrder="0" shrinkToFit="0" wrapText="1"/>
    </xf>
    <xf borderId="1" fillId="0" fontId="15" numFmtId="0" xfId="0" applyAlignment="1" applyBorder="1" applyFont="1">
      <alignment horizontal="left" readingOrder="0" shrinkToFit="0" wrapText="1"/>
    </xf>
    <xf borderId="1" fillId="0" fontId="15" numFmtId="164" xfId="0" applyAlignment="1" applyBorder="1" applyFont="1" applyNumberFormat="1">
      <alignment horizontal="right" readingOrder="0" shrinkToFit="0" wrapText="1"/>
    </xf>
    <xf borderId="1" fillId="0" fontId="16" numFmtId="0" xfId="0" applyAlignment="1" applyBorder="1" applyFont="1">
      <alignment horizontal="left" readingOrder="0" shrinkToFit="0" wrapText="1"/>
    </xf>
    <xf borderId="1" fillId="0" fontId="16" numFmtId="164" xfId="0" applyAlignment="1" applyBorder="1" applyFont="1" applyNumberFormat="1">
      <alignment horizontal="right" readingOrder="0" shrinkToFit="0" wrapText="1"/>
    </xf>
    <xf borderId="1" fillId="0" fontId="17" numFmtId="0" xfId="0" applyAlignment="1" applyBorder="1" applyFont="1">
      <alignment horizontal="left" readingOrder="0" shrinkToFit="0" wrapText="1"/>
    </xf>
    <xf borderId="1" fillId="0" fontId="17" numFmtId="164" xfId="0" applyAlignment="1" applyBorder="1" applyFont="1" applyNumberFormat="1">
      <alignment horizontal="right" readingOrder="0" shrinkToFit="0" wrapText="1"/>
    </xf>
    <xf borderId="1" fillId="0" fontId="18" numFmtId="0" xfId="0" applyAlignment="1" applyBorder="1" applyFont="1">
      <alignment horizontal="left" readingOrder="0" shrinkToFit="0" wrapText="1"/>
    </xf>
    <xf borderId="1" fillId="0" fontId="18" numFmtId="164" xfId="0" applyAlignment="1" applyBorder="1" applyFont="1" applyNumberFormat="1">
      <alignment horizontal="right" readingOrder="0" shrinkToFit="0" wrapText="1"/>
    </xf>
    <xf borderId="1" fillId="0" fontId="19" numFmtId="0" xfId="0" applyAlignment="1" applyBorder="1" applyFont="1">
      <alignment horizontal="left" readingOrder="0" shrinkToFit="0" wrapText="1"/>
    </xf>
    <xf borderId="1" fillId="0" fontId="19" numFmtId="164" xfId="0" applyAlignment="1" applyBorder="1" applyFont="1" applyNumberFormat="1">
      <alignment horizontal="right" readingOrder="0" shrinkToFit="0" wrapText="1"/>
    </xf>
    <xf borderId="1" fillId="0" fontId="20" numFmtId="164" xfId="0" applyAlignment="1" applyBorder="1" applyFont="1" applyNumberFormat="1">
      <alignment horizontal="right" readingOrder="0" shrinkToFit="0" wrapText="1"/>
    </xf>
    <xf borderId="1" fillId="3" fontId="21" numFmtId="0" xfId="0" applyAlignment="1" applyBorder="1" applyFill="1" applyFont="1">
      <alignment horizontal="left" readingOrder="0" shrinkToFit="0" wrapText="1"/>
    </xf>
    <xf borderId="1" fillId="3" fontId="21" numFmtId="164" xfId="0" applyAlignment="1" applyBorder="1" applyFont="1" applyNumberFormat="1">
      <alignment horizontal="right" readingOrder="0" shrinkToFit="0" wrapText="1"/>
    </xf>
    <xf borderId="1" fillId="0" fontId="20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166" xfId="0" applyAlignment="1" applyFont="1" applyNumberFormat="1">
      <alignment readingOrder="0"/>
    </xf>
    <xf borderId="0" fillId="0" fontId="13" numFmtId="0" xfId="0" applyAlignment="1" applyFont="1">
      <alignment horizontal="left" readingOrder="0"/>
    </xf>
    <xf borderId="0" fillId="0" fontId="13" numFmtId="0" xfId="0" applyAlignment="1" applyFont="1">
      <alignment horizontal="left"/>
    </xf>
    <xf borderId="0" fillId="0" fontId="5" numFmtId="166" xfId="0" applyAlignment="1" applyFont="1" applyNumberFormat="1">
      <alignment readingOrder="0"/>
    </xf>
    <xf borderId="0" fillId="0" fontId="5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kpIsalMAUNO8BQFpvHuT_8wN6-O3bg59?usp=sharing" TargetMode="External"/><Relationship Id="rId2" Type="http://schemas.openxmlformats.org/officeDocument/2006/relationships/hyperlink" Target="https://drive.google.com/drive/folders/1kpIsalMAUNO8BQFpvHuT_8wN6-O3bg59?usp=sharing" TargetMode="External"/><Relationship Id="rId3" Type="http://schemas.openxmlformats.org/officeDocument/2006/relationships/hyperlink" Target="https://drive.google.com/file/d/1lhSBTNBecsQLFGnnnAPTem-MwZmTpnQ6/view?usp=drive_link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hidden="1" min="2" max="2" width="12.63"/>
    <col customWidth="1" min="4" max="4" width="22.63"/>
  </cols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/>
      <c r="B3" s="2"/>
      <c r="C3" s="2"/>
      <c r="D3" s="2"/>
    </row>
    <row r="4">
      <c r="A4" s="3" t="s">
        <v>4</v>
      </c>
      <c r="B4" s="3">
        <v>9.9</v>
      </c>
      <c r="C4" s="3">
        <v>11.0</v>
      </c>
      <c r="D4" s="3">
        <v>14.0</v>
      </c>
    </row>
    <row r="5">
      <c r="A5" s="3" t="s">
        <v>5</v>
      </c>
      <c r="B5" s="3">
        <v>10.8</v>
      </c>
      <c r="C5" s="3">
        <v>12.0</v>
      </c>
      <c r="D5" s="3">
        <v>15.5</v>
      </c>
    </row>
    <row r="6">
      <c r="A6" s="3" t="s">
        <v>6</v>
      </c>
      <c r="B6" s="3">
        <v>11.7</v>
      </c>
      <c r="C6" s="3">
        <v>13.0</v>
      </c>
      <c r="D6" s="3">
        <v>16.0</v>
      </c>
    </row>
    <row r="7">
      <c r="A7" s="3" t="s">
        <v>7</v>
      </c>
      <c r="B7" s="3">
        <v>13.48</v>
      </c>
      <c r="C7" s="3">
        <v>17.0</v>
      </c>
      <c r="D7" s="3">
        <v>22.0</v>
      </c>
    </row>
    <row r="8">
      <c r="A8" s="4" t="s">
        <v>8</v>
      </c>
      <c r="B8" s="3">
        <v>8.1</v>
      </c>
      <c r="C8" s="3" t="s">
        <v>9</v>
      </c>
      <c r="D8" s="2"/>
    </row>
    <row r="9">
      <c r="A9" s="4" t="s">
        <v>10</v>
      </c>
      <c r="B9" s="3">
        <v>8.1</v>
      </c>
      <c r="C9" s="3" t="s">
        <v>9</v>
      </c>
      <c r="D9" s="2"/>
    </row>
    <row r="10">
      <c r="A10" s="4" t="s">
        <v>11</v>
      </c>
      <c r="B10" s="3">
        <v>7.2</v>
      </c>
      <c r="C10" s="3" t="s">
        <v>12</v>
      </c>
      <c r="D10" s="2"/>
    </row>
    <row r="11">
      <c r="A11" s="4" t="s">
        <v>13</v>
      </c>
      <c r="B11" s="3">
        <v>8.1</v>
      </c>
      <c r="C11" s="3" t="s">
        <v>9</v>
      </c>
      <c r="D11" s="2"/>
    </row>
    <row r="12">
      <c r="A12" s="4" t="s">
        <v>14</v>
      </c>
      <c r="B12" s="3">
        <v>6.3</v>
      </c>
      <c r="C12" s="3" t="s">
        <v>15</v>
      </c>
      <c r="D12" s="2"/>
    </row>
    <row r="13">
      <c r="A13" s="4" t="s">
        <v>16</v>
      </c>
      <c r="B13" s="3">
        <v>7.2</v>
      </c>
      <c r="C13" s="3" t="s">
        <v>12</v>
      </c>
      <c r="D13" s="2"/>
    </row>
    <row r="14">
      <c r="A14" s="3" t="s">
        <v>17</v>
      </c>
      <c r="B14" s="3">
        <v>8.55</v>
      </c>
      <c r="C14" s="5" t="s">
        <v>18</v>
      </c>
      <c r="D14" s="2"/>
    </row>
    <row r="15">
      <c r="A15" s="4" t="s">
        <v>19</v>
      </c>
      <c r="B15" s="3">
        <v>8.1</v>
      </c>
      <c r="C15" s="3" t="s">
        <v>20</v>
      </c>
      <c r="D15" s="3"/>
    </row>
    <row r="16">
      <c r="A16" s="4" t="s">
        <v>21</v>
      </c>
      <c r="B16" s="3">
        <v>8.55</v>
      </c>
      <c r="C16" s="3" t="s">
        <v>22</v>
      </c>
      <c r="D16" s="2"/>
    </row>
    <row r="17">
      <c r="A17" s="3" t="s">
        <v>23</v>
      </c>
      <c r="B17" s="3">
        <v>7.2</v>
      </c>
      <c r="C17" s="3" t="s">
        <v>24</v>
      </c>
      <c r="D17" s="2"/>
    </row>
    <row r="18">
      <c r="A18" s="3" t="s">
        <v>25</v>
      </c>
      <c r="B18" s="2"/>
      <c r="C18" s="3" t="s">
        <v>26</v>
      </c>
      <c r="D18" s="2"/>
    </row>
    <row r="19">
      <c r="A19" s="3" t="s">
        <v>27</v>
      </c>
      <c r="B19" s="2"/>
      <c r="C19" s="3" t="s">
        <v>28</v>
      </c>
      <c r="D19" s="2"/>
    </row>
    <row r="20">
      <c r="A20" s="3" t="s">
        <v>29</v>
      </c>
      <c r="B20" s="2"/>
      <c r="C20" s="3" t="s">
        <v>30</v>
      </c>
      <c r="D20" s="2"/>
    </row>
    <row r="21">
      <c r="A21" s="3" t="s">
        <v>31</v>
      </c>
      <c r="B21" s="2"/>
      <c r="C21" s="3" t="s">
        <v>32</v>
      </c>
      <c r="D2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7.25"/>
  </cols>
  <sheetData>
    <row r="1">
      <c r="A1" s="6" t="s">
        <v>33</v>
      </c>
      <c r="B1" s="7"/>
      <c r="C1" s="7"/>
      <c r="D1" s="7"/>
      <c r="E1" s="7"/>
      <c r="F1" s="7"/>
      <c r="G1" s="7"/>
    </row>
    <row r="2">
      <c r="A2" s="7"/>
      <c r="B2" s="7"/>
      <c r="C2" s="7"/>
      <c r="D2" s="7"/>
      <c r="E2" s="6" t="s">
        <v>34</v>
      </c>
      <c r="F2" s="7"/>
      <c r="G2" s="7"/>
    </row>
    <row r="3">
      <c r="A3" s="8" t="s">
        <v>35</v>
      </c>
      <c r="B3" s="8" t="s">
        <v>36</v>
      </c>
      <c r="C3" s="7"/>
      <c r="D3" s="7"/>
      <c r="E3" s="7"/>
      <c r="F3" s="7"/>
      <c r="G3" s="7"/>
    </row>
    <row r="4">
      <c r="A4" s="8" t="s">
        <v>37</v>
      </c>
      <c r="B4" s="9" t="s">
        <v>38</v>
      </c>
      <c r="C4" s="7"/>
      <c r="D4" s="7"/>
      <c r="E4" s="7"/>
      <c r="F4" s="7"/>
      <c r="G4" s="7"/>
    </row>
    <row r="5">
      <c r="A5" s="8" t="s">
        <v>39</v>
      </c>
      <c r="B5" s="9" t="s">
        <v>38</v>
      </c>
      <c r="C5" s="7"/>
      <c r="D5" s="7"/>
      <c r="E5" s="7"/>
      <c r="F5" s="7"/>
      <c r="G5" s="7"/>
    </row>
    <row r="6">
      <c r="A6" s="6" t="s">
        <v>40</v>
      </c>
      <c r="B6" s="6" t="s">
        <v>41</v>
      </c>
      <c r="C6" s="7"/>
      <c r="D6" s="7"/>
      <c r="E6" s="8" t="s">
        <v>42</v>
      </c>
      <c r="F6" s="7"/>
      <c r="G6" s="7"/>
    </row>
    <row r="7">
      <c r="A7" s="8" t="s">
        <v>43</v>
      </c>
      <c r="B7" s="8" t="s">
        <v>44</v>
      </c>
      <c r="C7" s="10">
        <v>62.4</v>
      </c>
      <c r="D7" s="8" t="s">
        <v>45</v>
      </c>
      <c r="E7" s="8" t="s">
        <v>46</v>
      </c>
      <c r="F7" s="7"/>
      <c r="G7" s="7"/>
    </row>
    <row r="8">
      <c r="A8" s="8"/>
      <c r="B8" s="8"/>
      <c r="C8" s="7"/>
      <c r="D8" s="7"/>
      <c r="E8" s="7"/>
      <c r="F8" s="7"/>
      <c r="G8" s="7"/>
    </row>
    <row r="9">
      <c r="A9" s="8"/>
      <c r="B9" s="8"/>
      <c r="C9" s="7"/>
      <c r="D9" s="7"/>
      <c r="E9" s="7"/>
      <c r="F9" s="7"/>
      <c r="G9" s="7"/>
    </row>
    <row r="10">
      <c r="A10" s="6" t="s">
        <v>47</v>
      </c>
      <c r="B10" s="11" t="s">
        <v>48</v>
      </c>
      <c r="C10" s="7"/>
      <c r="D10" s="7"/>
      <c r="E10" s="8" t="s">
        <v>49</v>
      </c>
      <c r="F10" s="7"/>
      <c r="G10" s="7"/>
    </row>
    <row r="11">
      <c r="A11" s="12"/>
      <c r="B11" s="11" t="s">
        <v>50</v>
      </c>
      <c r="C11" s="7"/>
      <c r="D11" s="7"/>
      <c r="E11" s="8" t="s">
        <v>51</v>
      </c>
      <c r="F11" s="7"/>
      <c r="G11" s="7"/>
    </row>
    <row r="12">
      <c r="A12" s="6" t="s">
        <v>52</v>
      </c>
      <c r="B12" s="6" t="s">
        <v>53</v>
      </c>
      <c r="C12" s="13">
        <v>21.0</v>
      </c>
      <c r="D12" s="6" t="s">
        <v>54</v>
      </c>
      <c r="E12" s="8" t="s">
        <v>55</v>
      </c>
      <c r="F12" s="7"/>
      <c r="G12" s="7"/>
    </row>
    <row r="13">
      <c r="A13" s="12"/>
      <c r="B13" s="6" t="s">
        <v>56</v>
      </c>
      <c r="C13" s="14">
        <v>12.5</v>
      </c>
      <c r="D13" s="12"/>
      <c r="E13" s="8" t="s">
        <v>57</v>
      </c>
      <c r="F13" s="7"/>
      <c r="G13" s="7"/>
    </row>
    <row r="14">
      <c r="A14" s="12"/>
      <c r="B14" s="6" t="s">
        <v>58</v>
      </c>
      <c r="C14" s="14">
        <v>7.45</v>
      </c>
      <c r="D14" s="12"/>
      <c r="E14" s="7"/>
      <c r="F14" s="7"/>
      <c r="G14" s="7"/>
    </row>
    <row r="15">
      <c r="A15" s="8" t="s">
        <v>59</v>
      </c>
      <c r="B15" s="8" t="s">
        <v>36</v>
      </c>
      <c r="C15" s="7"/>
      <c r="D15" s="7"/>
      <c r="E15" s="7"/>
      <c r="F15" s="7"/>
      <c r="G15" s="7"/>
    </row>
    <row r="16">
      <c r="A16" s="8" t="s">
        <v>60</v>
      </c>
      <c r="B16" s="8" t="s">
        <v>36</v>
      </c>
      <c r="C16" s="7"/>
      <c r="D16" s="7"/>
      <c r="E16" s="7"/>
      <c r="F16" s="7"/>
      <c r="G16" s="7"/>
    </row>
    <row r="17">
      <c r="A17" s="8" t="s">
        <v>61</v>
      </c>
      <c r="B17" s="8" t="s">
        <v>62</v>
      </c>
      <c r="C17" s="7"/>
      <c r="D17" s="7"/>
      <c r="E17" s="7"/>
      <c r="F17" s="7"/>
      <c r="G17" s="7"/>
    </row>
    <row r="18">
      <c r="A18" s="8" t="s">
        <v>63</v>
      </c>
      <c r="B18" s="8" t="s">
        <v>64</v>
      </c>
      <c r="C18" s="15">
        <v>80.0</v>
      </c>
      <c r="D18" s="8" t="s">
        <v>65</v>
      </c>
      <c r="E18" s="8" t="s">
        <v>66</v>
      </c>
      <c r="F18" s="7"/>
      <c r="G18" s="7"/>
    </row>
    <row r="19">
      <c r="A19" s="8" t="s">
        <v>67</v>
      </c>
      <c r="B19" s="16" t="s">
        <v>68</v>
      </c>
      <c r="C19" s="7"/>
      <c r="D19" s="7"/>
      <c r="E19" s="7"/>
      <c r="F19" s="7"/>
      <c r="G19" s="7"/>
      <c r="I19" s="17"/>
    </row>
    <row r="20">
      <c r="A20" s="7"/>
      <c r="B20" s="7"/>
      <c r="C20" s="7"/>
      <c r="D20" s="7"/>
      <c r="E20" s="7"/>
      <c r="F20" s="7"/>
      <c r="G20" s="7"/>
      <c r="I20" s="17"/>
    </row>
    <row r="21">
      <c r="A21" s="7"/>
      <c r="B21" s="7"/>
      <c r="C21" s="7"/>
      <c r="D21" s="7"/>
      <c r="E21" s="7"/>
      <c r="F21" s="7"/>
      <c r="G21" s="7"/>
    </row>
    <row r="22">
      <c r="A22" s="7"/>
      <c r="B22" s="7"/>
      <c r="C22" s="7"/>
      <c r="D22" s="7"/>
      <c r="E22" s="7"/>
      <c r="F22" s="7"/>
      <c r="G22" s="7"/>
    </row>
    <row r="23">
      <c r="A23" s="7"/>
      <c r="B23" s="7"/>
      <c r="C23" s="7"/>
      <c r="D23" s="7"/>
      <c r="E23" s="7"/>
      <c r="F23" s="7"/>
      <c r="G23" s="7"/>
    </row>
  </sheetData>
  <hyperlinks>
    <hyperlink r:id="rId1" ref="B4"/>
    <hyperlink r:id="rId2" ref="B5"/>
    <hyperlink r:id="rId3" ref="B19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27.75"/>
    <col customWidth="1" min="7" max="7" width="10.88"/>
  </cols>
  <sheetData>
    <row r="3">
      <c r="A3" s="18" t="s">
        <v>69</v>
      </c>
      <c r="B3" s="18" t="s">
        <v>0</v>
      </c>
      <c r="C3" s="19" t="s">
        <v>70</v>
      </c>
      <c r="D3" s="20" t="s">
        <v>71</v>
      </c>
      <c r="E3" s="21"/>
      <c r="F3" s="22" t="s">
        <v>72</v>
      </c>
      <c r="I3" s="23" t="s">
        <v>73</v>
      </c>
    </row>
    <row r="4">
      <c r="A4" s="24"/>
      <c r="B4" s="24"/>
      <c r="C4" s="24"/>
      <c r="D4" s="24"/>
    </row>
    <row r="5">
      <c r="A5" s="24"/>
      <c r="B5" s="25" t="s">
        <v>74</v>
      </c>
      <c r="C5" s="26" t="s">
        <v>75</v>
      </c>
      <c r="D5" s="27">
        <v>2.5</v>
      </c>
      <c r="F5" s="28">
        <f>SUM(1+D5)</f>
        <v>3.5</v>
      </c>
      <c r="G5" s="23">
        <v>100.0</v>
      </c>
      <c r="H5" s="29">
        <f>SUM(G5*1)</f>
        <v>100</v>
      </c>
    </row>
    <row r="6">
      <c r="A6" s="24"/>
      <c r="B6" s="24"/>
      <c r="C6" s="24"/>
      <c r="D6" s="24"/>
      <c r="H6" s="29"/>
    </row>
    <row r="7">
      <c r="A7" s="24"/>
      <c r="B7" s="25" t="s">
        <v>76</v>
      </c>
      <c r="C7" s="26" t="s">
        <v>75</v>
      </c>
      <c r="D7" s="27">
        <v>3.5</v>
      </c>
      <c r="F7" s="28">
        <f>SUM(1+D7)</f>
        <v>4.5</v>
      </c>
      <c r="G7" s="23">
        <v>100.0</v>
      </c>
      <c r="H7" s="29">
        <f>SUM(G7*1)</f>
        <v>100</v>
      </c>
    </row>
    <row r="8">
      <c r="A8" s="24"/>
      <c r="B8" s="24"/>
      <c r="C8" s="24"/>
      <c r="D8" s="24"/>
      <c r="H8" s="29"/>
    </row>
    <row r="9">
      <c r="A9" s="24"/>
      <c r="B9" s="25" t="s">
        <v>77</v>
      </c>
      <c r="C9" s="26" t="s">
        <v>78</v>
      </c>
      <c r="D9" s="27">
        <v>6.75</v>
      </c>
      <c r="F9" s="28">
        <f>SUM(1+D9)</f>
        <v>7.75</v>
      </c>
      <c r="G9" s="23">
        <v>100.0</v>
      </c>
      <c r="H9" s="29">
        <f>SUM(G9*1)</f>
        <v>100</v>
      </c>
    </row>
    <row r="10">
      <c r="A10" s="24"/>
      <c r="B10" s="24"/>
      <c r="C10" s="24"/>
      <c r="D10" s="24"/>
      <c r="H10" s="29"/>
    </row>
    <row r="11">
      <c r="A11" s="24"/>
      <c r="B11" s="25" t="s">
        <v>77</v>
      </c>
      <c r="C11" s="26" t="s">
        <v>79</v>
      </c>
      <c r="D11" s="27">
        <v>2.25</v>
      </c>
      <c r="F11" s="28">
        <f>SUM(1+D11)</f>
        <v>3.25</v>
      </c>
      <c r="G11" s="23">
        <v>100.0</v>
      </c>
      <c r="H11" s="29">
        <f t="shared" ref="H11:H21" si="1">SUM(G11*1)</f>
        <v>100</v>
      </c>
    </row>
    <row r="12">
      <c r="A12" s="24"/>
      <c r="B12" s="24"/>
      <c r="C12" s="24"/>
      <c r="D12" s="24"/>
      <c r="H12" s="29">
        <f t="shared" si="1"/>
        <v>0</v>
      </c>
    </row>
    <row r="13">
      <c r="A13" s="25" t="s">
        <v>80</v>
      </c>
      <c r="B13" s="25" t="s">
        <v>81</v>
      </c>
      <c r="C13" s="26" t="s">
        <v>82</v>
      </c>
      <c r="D13" s="27">
        <v>4.75</v>
      </c>
      <c r="F13" s="28">
        <f t="shared" ref="F13:F17" si="2">SUM(1+D13)</f>
        <v>5.75</v>
      </c>
      <c r="G13" s="23">
        <v>100.0</v>
      </c>
      <c r="H13" s="29">
        <f t="shared" si="1"/>
        <v>100</v>
      </c>
    </row>
    <row r="14">
      <c r="A14" s="25" t="s">
        <v>80</v>
      </c>
      <c r="B14" s="25" t="s">
        <v>83</v>
      </c>
      <c r="C14" s="26" t="s">
        <v>82</v>
      </c>
      <c r="D14" s="27">
        <v>4.75</v>
      </c>
      <c r="F14" s="28">
        <f t="shared" si="2"/>
        <v>5.75</v>
      </c>
      <c r="G14" s="23">
        <v>100.0</v>
      </c>
      <c r="H14" s="29">
        <f t="shared" si="1"/>
        <v>100</v>
      </c>
    </row>
    <row r="15">
      <c r="A15" s="25" t="s">
        <v>80</v>
      </c>
      <c r="B15" s="25" t="s">
        <v>84</v>
      </c>
      <c r="C15" s="26" t="s">
        <v>82</v>
      </c>
      <c r="D15" s="27">
        <v>4.75</v>
      </c>
      <c r="F15" s="28">
        <f t="shared" si="2"/>
        <v>5.75</v>
      </c>
      <c r="G15" s="23">
        <v>100.0</v>
      </c>
      <c r="H15" s="29">
        <f t="shared" si="1"/>
        <v>100</v>
      </c>
    </row>
    <row r="16">
      <c r="A16" s="25" t="s">
        <v>80</v>
      </c>
      <c r="B16" s="25" t="s">
        <v>85</v>
      </c>
      <c r="C16" s="26" t="s">
        <v>82</v>
      </c>
      <c r="D16" s="27">
        <v>4.75</v>
      </c>
      <c r="F16" s="28">
        <f t="shared" si="2"/>
        <v>5.75</v>
      </c>
      <c r="G16" s="23">
        <v>100.0</v>
      </c>
      <c r="H16" s="29">
        <f t="shared" si="1"/>
        <v>100</v>
      </c>
    </row>
    <row r="17">
      <c r="A17" s="25" t="s">
        <v>80</v>
      </c>
      <c r="B17" s="25" t="s">
        <v>86</v>
      </c>
      <c r="C17" s="26" t="s">
        <v>82</v>
      </c>
      <c r="D17" s="27">
        <v>4.75</v>
      </c>
      <c r="F17" s="28">
        <f t="shared" si="2"/>
        <v>5.75</v>
      </c>
      <c r="G17" s="23">
        <v>100.0</v>
      </c>
      <c r="H17" s="29">
        <f t="shared" si="1"/>
        <v>100</v>
      </c>
    </row>
    <row r="18">
      <c r="A18" s="24"/>
      <c r="B18" s="24"/>
      <c r="C18" s="24"/>
      <c r="D18" s="24"/>
      <c r="H18" s="29">
        <f t="shared" si="1"/>
        <v>0</v>
      </c>
    </row>
    <row r="19">
      <c r="A19" s="24"/>
      <c r="B19" s="25" t="s">
        <v>87</v>
      </c>
      <c r="C19" s="26" t="s">
        <v>88</v>
      </c>
      <c r="D19" s="27">
        <v>2.5</v>
      </c>
      <c r="F19" s="28">
        <f t="shared" ref="F19:F21" si="3">SUM(1+D19)</f>
        <v>3.5</v>
      </c>
      <c r="G19" s="23">
        <v>100.0</v>
      </c>
      <c r="H19" s="29">
        <f t="shared" si="1"/>
        <v>100</v>
      </c>
    </row>
    <row r="20">
      <c r="A20" s="24"/>
      <c r="B20" s="25" t="s">
        <v>89</v>
      </c>
      <c r="C20" s="26" t="s">
        <v>88</v>
      </c>
      <c r="D20" s="27">
        <v>2.5</v>
      </c>
      <c r="F20" s="28">
        <f t="shared" si="3"/>
        <v>3.5</v>
      </c>
      <c r="G20" s="23">
        <v>100.0</v>
      </c>
      <c r="H20" s="29">
        <f t="shared" si="1"/>
        <v>100</v>
      </c>
    </row>
    <row r="21">
      <c r="A21" s="25" t="s">
        <v>90</v>
      </c>
      <c r="B21" s="25" t="s">
        <v>91</v>
      </c>
      <c r="C21" s="26" t="s">
        <v>88</v>
      </c>
      <c r="D21" s="27">
        <v>2.5</v>
      </c>
      <c r="F21" s="28">
        <f t="shared" si="3"/>
        <v>3.5</v>
      </c>
      <c r="G21" s="23">
        <v>100.0</v>
      </c>
      <c r="H21" s="29">
        <f t="shared" si="1"/>
        <v>100</v>
      </c>
    </row>
    <row r="22">
      <c r="H22" s="29"/>
    </row>
    <row r="23">
      <c r="B23" s="30" t="s">
        <v>0</v>
      </c>
      <c r="D23" s="30" t="s">
        <v>92</v>
      </c>
      <c r="H23" s="29"/>
    </row>
    <row r="24">
      <c r="B24" s="31" t="s">
        <v>93</v>
      </c>
      <c r="D24" s="32">
        <v>2.9</v>
      </c>
      <c r="F24" s="28">
        <f t="shared" ref="F24:F54" si="4">SUM(1+D24)</f>
        <v>3.9</v>
      </c>
      <c r="G24" s="23">
        <v>100.0</v>
      </c>
      <c r="H24" s="29">
        <f t="shared" ref="H24:H53" si="5">SUM(G24*1)</f>
        <v>100</v>
      </c>
    </row>
    <row r="25">
      <c r="B25" s="31" t="s">
        <v>94</v>
      </c>
      <c r="D25" s="32">
        <v>5.25</v>
      </c>
      <c r="F25" s="28">
        <f t="shared" si="4"/>
        <v>6.25</v>
      </c>
      <c r="G25" s="23">
        <v>100.0</v>
      </c>
      <c r="H25" s="29">
        <f t="shared" si="5"/>
        <v>100</v>
      </c>
    </row>
    <row r="26">
      <c r="B26" s="33" t="s">
        <v>95</v>
      </c>
      <c r="D26" s="34">
        <v>2.9</v>
      </c>
      <c r="F26" s="28">
        <f t="shared" si="4"/>
        <v>3.9</v>
      </c>
      <c r="G26" s="23">
        <v>100.0</v>
      </c>
      <c r="H26" s="29">
        <f t="shared" si="5"/>
        <v>100</v>
      </c>
    </row>
    <row r="27">
      <c r="B27" s="33" t="s">
        <v>96</v>
      </c>
      <c r="D27" s="34">
        <v>5.25</v>
      </c>
      <c r="F27" s="28">
        <f t="shared" si="4"/>
        <v>6.25</v>
      </c>
      <c r="G27" s="23">
        <v>100.0</v>
      </c>
      <c r="H27" s="29">
        <f t="shared" si="5"/>
        <v>100</v>
      </c>
    </row>
    <row r="28">
      <c r="B28" s="35" t="s">
        <v>97</v>
      </c>
      <c r="D28" s="36">
        <v>5.25</v>
      </c>
      <c r="F28" s="28">
        <f t="shared" si="4"/>
        <v>6.25</v>
      </c>
      <c r="G28" s="23">
        <v>100.0</v>
      </c>
      <c r="H28" s="29">
        <f t="shared" si="5"/>
        <v>100</v>
      </c>
    </row>
    <row r="29">
      <c r="B29" s="35" t="s">
        <v>98</v>
      </c>
      <c r="D29" s="36">
        <v>2.9</v>
      </c>
      <c r="F29" s="28">
        <f t="shared" si="4"/>
        <v>3.9</v>
      </c>
      <c r="G29" s="23">
        <v>100.0</v>
      </c>
      <c r="H29" s="29">
        <f t="shared" si="5"/>
        <v>100</v>
      </c>
    </row>
    <row r="30">
      <c r="B30" s="35" t="s">
        <v>99</v>
      </c>
      <c r="D30" s="36">
        <v>1.65</v>
      </c>
      <c r="F30" s="28">
        <f t="shared" si="4"/>
        <v>2.65</v>
      </c>
      <c r="G30" s="23">
        <v>100.0</v>
      </c>
      <c r="H30" s="29">
        <f t="shared" si="5"/>
        <v>100</v>
      </c>
    </row>
    <row r="31">
      <c r="B31" s="35" t="s">
        <v>100</v>
      </c>
      <c r="D31" s="36">
        <v>1.3</v>
      </c>
      <c r="F31" s="28">
        <f t="shared" si="4"/>
        <v>2.3</v>
      </c>
      <c r="G31" s="23">
        <v>100.0</v>
      </c>
      <c r="H31" s="29">
        <f t="shared" si="5"/>
        <v>100</v>
      </c>
    </row>
    <row r="32">
      <c r="B32" s="31" t="s">
        <v>101</v>
      </c>
      <c r="D32" s="32">
        <v>7.5</v>
      </c>
      <c r="F32" s="28">
        <f t="shared" si="4"/>
        <v>8.5</v>
      </c>
      <c r="G32" s="23">
        <v>100.0</v>
      </c>
      <c r="H32" s="29">
        <f t="shared" si="5"/>
        <v>100</v>
      </c>
    </row>
    <row r="33">
      <c r="B33" s="31" t="s">
        <v>102</v>
      </c>
      <c r="D33" s="32">
        <v>4.0</v>
      </c>
      <c r="F33" s="28">
        <f t="shared" si="4"/>
        <v>5</v>
      </c>
      <c r="G33" s="23">
        <v>100.0</v>
      </c>
      <c r="H33" s="29">
        <f t="shared" si="5"/>
        <v>100</v>
      </c>
    </row>
    <row r="34">
      <c r="B34" s="37" t="s">
        <v>103</v>
      </c>
      <c r="D34" s="38">
        <v>6.7</v>
      </c>
      <c r="F34" s="28">
        <f t="shared" si="4"/>
        <v>7.7</v>
      </c>
      <c r="G34" s="23">
        <v>100.0</v>
      </c>
      <c r="H34" s="29">
        <f t="shared" si="5"/>
        <v>100</v>
      </c>
    </row>
    <row r="35">
      <c r="B35" s="37" t="s">
        <v>104</v>
      </c>
      <c r="D35" s="38">
        <v>3.6</v>
      </c>
      <c r="F35" s="28">
        <f t="shared" si="4"/>
        <v>4.6</v>
      </c>
      <c r="G35" s="23">
        <v>100.0</v>
      </c>
      <c r="H35" s="29">
        <f t="shared" si="5"/>
        <v>100</v>
      </c>
    </row>
    <row r="36">
      <c r="B36" s="37" t="s">
        <v>105</v>
      </c>
      <c r="D36" s="38">
        <v>2.1</v>
      </c>
      <c r="F36" s="28">
        <f t="shared" si="4"/>
        <v>3.1</v>
      </c>
      <c r="G36" s="23">
        <v>100.0</v>
      </c>
      <c r="H36" s="29">
        <f t="shared" si="5"/>
        <v>100</v>
      </c>
    </row>
    <row r="37">
      <c r="B37" s="37" t="s">
        <v>106</v>
      </c>
      <c r="D37" s="38">
        <v>1.65</v>
      </c>
      <c r="F37" s="28">
        <f t="shared" si="4"/>
        <v>2.65</v>
      </c>
      <c r="G37" s="23">
        <v>100.0</v>
      </c>
      <c r="H37" s="29">
        <f t="shared" si="5"/>
        <v>100</v>
      </c>
    </row>
    <row r="38">
      <c r="B38" s="39" t="s">
        <v>107</v>
      </c>
      <c r="D38" s="40">
        <v>7.25</v>
      </c>
      <c r="F38" s="28">
        <f t="shared" si="4"/>
        <v>8.25</v>
      </c>
      <c r="G38" s="23">
        <v>100.0</v>
      </c>
      <c r="H38" s="29">
        <f t="shared" si="5"/>
        <v>100</v>
      </c>
    </row>
    <row r="39">
      <c r="B39" s="39" t="s">
        <v>108</v>
      </c>
      <c r="D39" s="40">
        <v>12.75</v>
      </c>
      <c r="F39" s="28">
        <f t="shared" si="4"/>
        <v>13.75</v>
      </c>
      <c r="G39" s="23">
        <v>100.0</v>
      </c>
      <c r="H39" s="29">
        <f t="shared" si="5"/>
        <v>100</v>
      </c>
    </row>
    <row r="40">
      <c r="B40" s="41" t="s">
        <v>109</v>
      </c>
      <c r="D40" s="42">
        <v>7.5</v>
      </c>
      <c r="F40" s="28">
        <f t="shared" si="4"/>
        <v>8.5</v>
      </c>
      <c r="G40" s="23">
        <v>100.0</v>
      </c>
      <c r="H40" s="29">
        <f t="shared" si="5"/>
        <v>100</v>
      </c>
    </row>
    <row r="41">
      <c r="B41" s="31" t="s">
        <v>110</v>
      </c>
      <c r="D41" s="32">
        <v>8.55</v>
      </c>
      <c r="F41" s="28">
        <f t="shared" si="4"/>
        <v>9.55</v>
      </c>
      <c r="G41" s="23">
        <v>100.0</v>
      </c>
      <c r="H41" s="29">
        <f t="shared" si="5"/>
        <v>100</v>
      </c>
    </row>
    <row r="42">
      <c r="B42" s="31" t="s">
        <v>111</v>
      </c>
      <c r="D42" s="43">
        <v>13.5</v>
      </c>
      <c r="F42" s="28">
        <f t="shared" si="4"/>
        <v>14.5</v>
      </c>
      <c r="G42" s="23">
        <v>100.0</v>
      </c>
      <c r="H42" s="29">
        <f t="shared" si="5"/>
        <v>100</v>
      </c>
    </row>
    <row r="43">
      <c r="B43" s="31" t="s">
        <v>112</v>
      </c>
      <c r="D43" s="32">
        <v>8.55</v>
      </c>
      <c r="F43" s="28">
        <f t="shared" si="4"/>
        <v>9.55</v>
      </c>
      <c r="G43" s="23">
        <v>100.0</v>
      </c>
      <c r="H43" s="29">
        <f t="shared" si="5"/>
        <v>100</v>
      </c>
    </row>
    <row r="44">
      <c r="B44" s="31" t="s">
        <v>113</v>
      </c>
      <c r="D44" s="43">
        <v>13.5</v>
      </c>
      <c r="F44" s="28">
        <f t="shared" si="4"/>
        <v>14.5</v>
      </c>
      <c r="G44" s="23">
        <v>100.0</v>
      </c>
      <c r="H44" s="29">
        <f t="shared" si="5"/>
        <v>100</v>
      </c>
    </row>
    <row r="45">
      <c r="B45" s="44" t="s">
        <v>114</v>
      </c>
      <c r="D45" s="45">
        <v>2.9</v>
      </c>
      <c r="F45" s="28">
        <f t="shared" si="4"/>
        <v>3.9</v>
      </c>
      <c r="G45" s="23">
        <v>100.0</v>
      </c>
      <c r="H45" s="29">
        <f t="shared" si="5"/>
        <v>100</v>
      </c>
    </row>
    <row r="46">
      <c r="B46" s="44" t="s">
        <v>115</v>
      </c>
      <c r="D46" s="45">
        <v>1.65</v>
      </c>
      <c r="F46" s="28">
        <f t="shared" si="4"/>
        <v>2.65</v>
      </c>
      <c r="G46" s="23">
        <v>100.0</v>
      </c>
      <c r="H46" s="29">
        <f t="shared" si="5"/>
        <v>100</v>
      </c>
    </row>
    <row r="47">
      <c r="B47" s="46" t="s">
        <v>116</v>
      </c>
      <c r="D47" s="43">
        <v>3.6</v>
      </c>
      <c r="F47" s="28">
        <f t="shared" si="4"/>
        <v>4.6</v>
      </c>
      <c r="G47" s="23">
        <v>100.0</v>
      </c>
      <c r="H47" s="29">
        <f t="shared" si="5"/>
        <v>100</v>
      </c>
    </row>
    <row r="48">
      <c r="B48" s="46" t="s">
        <v>117</v>
      </c>
      <c r="D48" s="43">
        <v>1.65</v>
      </c>
      <c r="F48" s="28">
        <f t="shared" si="4"/>
        <v>2.65</v>
      </c>
      <c r="G48" s="23">
        <v>100.0</v>
      </c>
      <c r="H48" s="29">
        <f t="shared" si="5"/>
        <v>100</v>
      </c>
    </row>
    <row r="49">
      <c r="B49" s="46" t="s">
        <v>118</v>
      </c>
      <c r="D49" s="43">
        <v>10.0</v>
      </c>
      <c r="F49" s="28">
        <f t="shared" si="4"/>
        <v>11</v>
      </c>
      <c r="G49" s="23">
        <v>100.0</v>
      </c>
      <c r="H49" s="29">
        <f t="shared" si="5"/>
        <v>100</v>
      </c>
    </row>
    <row r="50">
      <c r="B50" s="46" t="s">
        <v>119</v>
      </c>
      <c r="D50" s="43">
        <v>5.75</v>
      </c>
      <c r="F50" s="28">
        <f t="shared" si="4"/>
        <v>6.75</v>
      </c>
      <c r="G50" s="23">
        <v>100.0</v>
      </c>
      <c r="H50" s="29">
        <f t="shared" si="5"/>
        <v>100</v>
      </c>
    </row>
    <row r="51">
      <c r="B51" s="46" t="s">
        <v>120</v>
      </c>
      <c r="D51" s="43">
        <v>3.2</v>
      </c>
      <c r="F51" s="28">
        <f t="shared" si="4"/>
        <v>4.2</v>
      </c>
      <c r="G51" s="23">
        <v>100.0</v>
      </c>
      <c r="H51" s="29">
        <f t="shared" si="5"/>
        <v>100</v>
      </c>
    </row>
    <row r="52">
      <c r="B52" s="46" t="s">
        <v>121</v>
      </c>
      <c r="D52" s="43">
        <v>6.75</v>
      </c>
      <c r="F52" s="28">
        <f t="shared" si="4"/>
        <v>7.75</v>
      </c>
      <c r="G52" s="23">
        <v>100.0</v>
      </c>
      <c r="H52" s="29">
        <f t="shared" si="5"/>
        <v>100</v>
      </c>
    </row>
    <row r="53">
      <c r="B53" s="46" t="s">
        <v>122</v>
      </c>
      <c r="D53" s="43">
        <v>14.5</v>
      </c>
      <c r="F53" s="28">
        <f t="shared" si="4"/>
        <v>15.5</v>
      </c>
      <c r="G53" s="23">
        <v>100.0</v>
      </c>
      <c r="H53" s="29">
        <f t="shared" si="5"/>
        <v>100</v>
      </c>
    </row>
    <row r="54">
      <c r="B54" s="47"/>
      <c r="F54" s="48">
        <f t="shared" si="4"/>
        <v>1</v>
      </c>
    </row>
    <row r="55">
      <c r="B55" s="47"/>
    </row>
    <row r="56">
      <c r="B56" s="47"/>
    </row>
    <row r="57">
      <c r="B57" s="47"/>
      <c r="H57" s="29">
        <f>SUM(H5:H53)</f>
        <v>4200</v>
      </c>
    </row>
    <row r="58">
      <c r="B58" s="47"/>
      <c r="H58" s="49">
        <v>750.0</v>
      </c>
    </row>
    <row r="59">
      <c r="B59" s="47"/>
      <c r="H59" s="29">
        <f>SUM(35*32)</f>
        <v>1120</v>
      </c>
    </row>
    <row r="60">
      <c r="B60" s="47"/>
    </row>
    <row r="61">
      <c r="B61" s="50" t="s">
        <v>123</v>
      </c>
      <c r="H61" s="29">
        <f>SUM(H57-H58-H59)</f>
        <v>2330</v>
      </c>
    </row>
    <row r="62">
      <c r="B62" s="5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4.0"/>
  </cols>
  <sheetData>
    <row r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7"/>
      <c r="B3" s="8" t="s">
        <v>124</v>
      </c>
      <c r="C3" s="52" t="s">
        <v>125</v>
      </c>
      <c r="D3" s="52">
        <v>35.0</v>
      </c>
      <c r="E3" s="8">
        <v>12.0</v>
      </c>
      <c r="F3" s="53">
        <f t="shared" ref="F3:F4" si="1">SUM(D3*E3)</f>
        <v>420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7"/>
      <c r="B4" s="8" t="s">
        <v>126</v>
      </c>
      <c r="C4" s="52" t="s">
        <v>125</v>
      </c>
      <c r="D4" s="52">
        <v>0.41</v>
      </c>
      <c r="E4" s="7">
        <f>SUM(342*2)</f>
        <v>684</v>
      </c>
      <c r="F4" s="53">
        <f t="shared" si="1"/>
        <v>280.44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7"/>
      <c r="B5" s="8" t="s">
        <v>127</v>
      </c>
      <c r="C5" s="52" t="s">
        <v>125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7"/>
      <c r="B7" s="7"/>
      <c r="C7" s="7"/>
      <c r="D7" s="7"/>
      <c r="E7" s="7"/>
      <c r="F7" s="53">
        <f>SUM(F3:F4)</f>
        <v>700.44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drawing r:id="rId1"/>
</worksheet>
</file>