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ster" sheetId="1" r:id="rId1"/>
    <sheet name="Batch History" sheetId="2" r:id="rId2"/>
    <sheet name="Rotation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cols>
    <col min="1" max="1" width="18.83203125" customWidth="1"/>
    <col min="2" max="2" width="18.83203125" customWidth="1"/>
    <col min="3" max="3" width="16.83203125" customWidth="1"/>
    <col min="4" max="4" width="26.83203125" customWidth="1"/>
    <col min="5" max="5" width="18.83203125" customWidth="1"/>
    <col min="6" max="6" width="20.83203125" customWidth="1"/>
    <col min="7" max="7" width="18.83203125" customWidth="1"/>
    <col min="8" max="8" width="14.83203125" customWidth="1"/>
    <col min="9" max="9" width="16.83203125" customWidth="1"/>
    <col min="10" max="10" width="14.83203125" customWidth="1"/>
    <col min="11" max="11" width="12.83203125" customWidth="1"/>
    <col min="12" max="12" width="44.83203125" customWidth="1"/>
  </cols>
  <sheetData>
    <row r="1">
      <c r="A1" t="str">
        <v>Name</v>
      </c>
      <c r="B1" t="str">
        <v>Base / Community</v>
      </c>
      <c r="C1" t="str">
        <v>Phone</v>
      </c>
      <c r="D1" t="str">
        <v>Email</v>
      </c>
      <c r="E1" t="str">
        <v>SIN on File (Y/N)</v>
      </c>
      <c r="F1" t="str">
        <v>Banking on File (Y/N)</v>
      </c>
      <c r="G1" t="str">
        <v>WSIB Clearance #</v>
      </c>
      <c r="H1" t="str">
        <v>WSIB Expiry</v>
      </c>
      <c r="I1" t="str">
        <v>Signed SOP Date</v>
      </c>
      <c r="J1" t="str">
        <v>Hire Date</v>
      </c>
      <c r="K1" t="str">
        <v>Status</v>
      </c>
      <c r="L1" t="str">
        <v>Notes</v>
      </c>
    </row>
    <row r="2">
      <c r="A2" t="str">
        <v>Marie T.</v>
      </c>
      <c r="B2" t="str">
        <v>Dryden</v>
      </c>
      <c r="C2" t="str">
        <v/>
      </c>
      <c r="D2" t="str">
        <v/>
      </c>
      <c r="E2" t="str">
        <v>Y</v>
      </c>
      <c r="F2" t="str">
        <v>Y</v>
      </c>
      <c r="G2" t="str">
        <v/>
      </c>
      <c r="H2" t="str">
        <v/>
      </c>
      <c r="I2" t="str">
        <v/>
      </c>
      <c r="J2" t="str">
        <v/>
      </c>
      <c r="K2" t="str">
        <v>Active</v>
      </c>
      <c r="L2" t="str">
        <v>Primary lead; completed 6 batches</v>
      </c>
    </row>
    <row r="3">
      <c r="A3" t="str">
        <v>Devin A.</v>
      </c>
      <c r="B3" t="str">
        <v>Dryden</v>
      </c>
      <c r="C3" t="str">
        <v/>
      </c>
      <c r="D3" t="str">
        <v/>
      </c>
      <c r="E3" t="str">
        <v>Y</v>
      </c>
      <c r="F3" t="str">
        <v>Y</v>
      </c>
      <c r="G3" t="str">
        <v/>
      </c>
      <c r="H3" t="str">
        <v/>
      </c>
      <c r="I3" t="str">
        <v/>
      </c>
      <c r="J3" t="str">
        <v/>
      </c>
      <c r="K3" t="str">
        <v>Active</v>
      </c>
      <c r="L3" t="str">
        <v/>
      </c>
    </row>
    <row r="4">
      <c r="A4" t="str">
        <v>Jess W.</v>
      </c>
      <c r="B4" t="str">
        <v>Dryden</v>
      </c>
      <c r="C4" t="str">
        <v/>
      </c>
      <c r="D4" t="str">
        <v/>
      </c>
      <c r="E4" t="str">
        <v>N</v>
      </c>
      <c r="F4" t="str">
        <v>N</v>
      </c>
      <c r="G4" t="str">
        <v/>
      </c>
      <c r="H4" t="str">
        <v/>
      </c>
      <c r="I4" t="str">
        <v/>
      </c>
      <c r="J4" t="str">
        <v/>
      </c>
      <c r="K4" t="str">
        <v>Standby</v>
      </c>
      <c r="L4" t="str">
        <v>SIN + banking to be collected before first batch</v>
      </c>
    </row>
    <row r="5">
      <c r="A5" t="str">
        <v>Roger S.</v>
      </c>
      <c r="B5" t="str">
        <v>Dryden</v>
      </c>
      <c r="C5" t="str">
        <v/>
      </c>
      <c r="D5" t="str">
        <v/>
      </c>
      <c r="E5" t="str">
        <v>N</v>
      </c>
      <c r="F5" t="str">
        <v>N</v>
      </c>
      <c r="G5" t="str">
        <v/>
      </c>
      <c r="H5" t="str">
        <v/>
      </c>
      <c r="I5" t="str">
        <v/>
      </c>
      <c r="J5" t="str">
        <v/>
      </c>
      <c r="K5" t="str">
        <v>Standby</v>
      </c>
      <c r="L5" t="str">
        <v>SIN + banking to be collected before first batch</v>
      </c>
    </row>
  </sheetData>
  <ignoredErrors>
    <ignoredError numberStoredAsText="1" sqref="A1:L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18.83203125" customWidth="1"/>
    <col min="2" max="2" width="9.83203125" customWidth="1"/>
    <col min="3" max="3" width="14.83203125" customWidth="1"/>
    <col min="4" max="4" width="34.83203125" customWidth="1"/>
    <col min="5" max="5" width="14.83203125" customWidth="1"/>
    <col min="6" max="6" width="10.83203125" customWidth="1"/>
    <col min="7" max="7" width="52.83203125" customWidth="1"/>
  </cols>
  <sheetData>
    <row r="1">
      <c r="A1" t="str">
        <v>Person Name</v>
      </c>
      <c r="B1" t="str">
        <v>Batch #</v>
      </c>
      <c r="C1" t="str">
        <v>Batch Date</v>
      </c>
      <c r="D1" t="str">
        <v>Role (Primary / Standby / Paid-out)</v>
      </c>
      <c r="E1" t="str">
        <v>Hours Worked</v>
      </c>
      <c r="F1" t="str">
        <v>Pay ($)</v>
      </c>
      <c r="G1" t="str">
        <v>Notes</v>
      </c>
    </row>
    <row r="2">
      <c r="A2" t="str">
        <v>Marie T.</v>
      </c>
      <c r="B2">
        <v>1</v>
      </c>
      <c r="C2" t="str">
        <v>2025-11-15</v>
      </c>
      <c r="D2" t="str">
        <v>Primary (lead)</v>
      </c>
      <c r="E2">
        <v>8</v>
      </c>
      <c r="F2">
        <v>200</v>
      </c>
      <c r="G2" t="str">
        <v/>
      </c>
    </row>
    <row r="3">
      <c r="A3" t="str">
        <v>Devin A.</v>
      </c>
      <c r="B3">
        <v>1</v>
      </c>
      <c r="C3" t="str">
        <v>2025-11-15</v>
      </c>
      <c r="D3" t="str">
        <v>Primary (support)</v>
      </c>
      <c r="E3">
        <v>8</v>
      </c>
      <c r="F3">
        <v>200</v>
      </c>
      <c r="G3" t="str">
        <v/>
      </c>
    </row>
    <row r="4">
      <c r="A4" t="str">
        <v>Jess W.</v>
      </c>
      <c r="B4">
        <v>1</v>
      </c>
      <c r="C4" t="str">
        <v>2025-11-15</v>
      </c>
      <c r="D4" t="str">
        <v>Standby</v>
      </c>
      <c r="E4">
        <v>0</v>
      </c>
      <c r="F4">
        <v>50</v>
      </c>
      <c r="G4" t="str">
        <v>Paid $50 flat standby fee; did not attend</v>
      </c>
    </row>
    <row r="5">
      <c r="A5" t="str">
        <v>Roger S.</v>
      </c>
      <c r="B5">
        <v>1</v>
      </c>
      <c r="C5" t="str">
        <v>2025-11-15</v>
      </c>
      <c r="D5" t="str">
        <v>Standby</v>
      </c>
      <c r="E5">
        <v>0</v>
      </c>
      <c r="F5">
        <v>50</v>
      </c>
      <c r="G5" t="str">
        <v>Paid $50 flat standby fee; did not attend</v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</row>
    <row r="7">
      <c r="A7" t="str">
        <v>← Add new batch blocks below. Copy the four rows above for each new batch.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</row>
  </sheetData>
  <ignoredErrors>
    <ignoredError numberStoredAsText="1" sqref="A1:G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cols>
    <col min="1" max="1" width="22.83203125" customWidth="1"/>
    <col min="2" max="2" width="14.83203125" customWidth="1"/>
    <col min="3" max="3" width="20.83203125" customWidth="1"/>
    <col min="4" max="4" width="20.83203125" customWidth="1"/>
    <col min="5" max="5" width="22.83203125" customWidth="1"/>
    <col min="6" max="6" width="20.83203125" customWidth="1"/>
    <col min="7" max="7" width="72.83203125" customWidth="1"/>
  </cols>
  <sheetData>
    <row r="1">
      <c r="A1" t="str">
        <v>ROTATION SCHEDULE — change cell B3 (Start Date) and all 12 batch rows recalculate automatically.</v>
      </c>
    </row>
    <row r="3">
      <c r="A3" t="str">
        <v>Start Date</v>
      </c>
      <c r="B3" s="1">
        <v>46179</v>
      </c>
      <c r="G3" t="str">
        <v>← Change this date. All 12 batch rows recalculate automatically.</v>
      </c>
    </row>
    <row r="4">
      <c r="A4" t="str">
        <v>Batch interval (days)</v>
      </c>
      <c r="B4">
        <v>42</v>
      </c>
      <c r="G4" t="str">
        <v>← Change to adjust spacing between batches (default: 42 days / 6 weeks).</v>
      </c>
    </row>
    <row r="6">
      <c r="A6" t="str">
        <v>Batch #</v>
      </c>
      <c r="B6" t="str">
        <v>Batch Date</v>
      </c>
      <c r="C6" t="str">
        <v>A – Primary (lead)</v>
      </c>
      <c r="D6" t="str">
        <v>B – Primary (support)</v>
      </c>
      <c r="E6" t="str">
        <v>C – Standby (on-call)</v>
      </c>
      <c r="F6" t="str">
        <v>D – Off-rotation</v>
      </c>
      <c r="G6" t="str">
        <v>Notes / Compliance Reminder</v>
      </c>
    </row>
    <row r="7">
      <c r="A7">
        <v>1</v>
      </c>
      <c r="B7" s="1">
        <f>$B$3+$B$4*(ROW()-7)</f>
        <v>46179</v>
      </c>
      <c r="C7" t="str">
        <f>CHOOSE(MOD(ROW()-7+0,4)+1,"Marie T.","Devin A.","Jess W.","Roger S.")</f>
        <v>Marie T.</v>
      </c>
      <c r="D7" t="str">
        <f>CHOOSE(MOD(ROW()-7+1,4)+1,"Marie T.","Devin A.","Jess W.","Roger S.")</f>
        <v>Devin A.</v>
      </c>
      <c r="E7" t="str">
        <f>CHOOSE(MOD(ROW()-7+2,4)+1,"Marie T.","Devin A.","Jess W.","Roger S.")</f>
        <v>Jess W.</v>
      </c>
      <c r="F7" t="str">
        <f>CHOOSE(MOD(ROW()-7+3,4)+1,"Marie T.","Devin A.","Jess W.","Roger S.")</f>
        <v>Roger S.</v>
      </c>
      <c r="G7" t="str">
        <v>Confirm 2 weeks before: WSIB current for A, B, C; SIN + banking on file for A and B.</v>
      </c>
    </row>
    <row r="8">
      <c r="A8">
        <v>2</v>
      </c>
      <c r="B8" s="1">
        <f>$B$3+$B$4*(ROW()-7)</f>
        <v>46221</v>
      </c>
      <c r="C8" t="str">
        <f>CHOOSE(MOD(ROW()-7+0,4)+1,"Marie T.","Devin A.","Jess W.","Roger S.")</f>
        <v>Devin A.</v>
      </c>
      <c r="D8" t="str">
        <f>CHOOSE(MOD(ROW()-7+1,4)+1,"Marie T.","Devin A.","Jess W.","Roger S.")</f>
        <v>Jess W.</v>
      </c>
      <c r="E8" t="str">
        <f>CHOOSE(MOD(ROW()-7+2,4)+1,"Marie T.","Devin A.","Jess W.","Roger S.")</f>
        <v>Roger S.</v>
      </c>
      <c r="F8" t="str">
        <f>CHOOSE(MOD(ROW()-7+3,4)+1,"Marie T.","Devin A.","Jess W.","Roger S.")</f>
        <v>Marie T.</v>
      </c>
      <c r="G8" t="str">
        <v/>
      </c>
    </row>
    <row r="9">
      <c r="A9">
        <v>3</v>
      </c>
      <c r="B9" s="1">
        <f>$B$3+$B$4*(ROW()-7)</f>
        <v>46263</v>
      </c>
      <c r="C9" t="str">
        <f>CHOOSE(MOD(ROW()-7+0,4)+1,"Marie T.","Devin A.","Jess W.","Roger S.")</f>
        <v>Jess W.</v>
      </c>
      <c r="D9" t="str">
        <f>CHOOSE(MOD(ROW()-7+1,4)+1,"Marie T.","Devin A.","Jess W.","Roger S.")</f>
        <v>Roger S.</v>
      </c>
      <c r="E9" t="str">
        <f>CHOOSE(MOD(ROW()-7+2,4)+1,"Marie T.","Devin A.","Jess W.","Roger S.")</f>
        <v>Marie T.</v>
      </c>
      <c r="F9" t="str">
        <f>CHOOSE(MOD(ROW()-7+3,4)+1,"Marie T.","Devin A.","Jess W.","Roger S.")</f>
        <v>Devin A.</v>
      </c>
      <c r="G9" t="str">
        <v/>
      </c>
    </row>
    <row r="10">
      <c r="A10">
        <v>4</v>
      </c>
      <c r="B10" s="1">
        <f>$B$3+$B$4*(ROW()-7)</f>
        <v>46305</v>
      </c>
      <c r="C10" t="str">
        <f>CHOOSE(MOD(ROW()-7+0,4)+1,"Marie T.","Devin A.","Jess W.","Roger S.")</f>
        <v>Roger S.</v>
      </c>
      <c r="D10" t="str">
        <f>CHOOSE(MOD(ROW()-7+1,4)+1,"Marie T.","Devin A.","Jess W.","Roger S.")</f>
        <v>Marie T.</v>
      </c>
      <c r="E10" t="str">
        <f>CHOOSE(MOD(ROW()-7+2,4)+1,"Marie T.","Devin A.","Jess W.","Roger S.")</f>
        <v>Devin A.</v>
      </c>
      <c r="F10" t="str">
        <f>CHOOSE(MOD(ROW()-7+3,4)+1,"Marie T.","Devin A.","Jess W.","Roger S.")</f>
        <v>Jess W.</v>
      </c>
      <c r="G10" t="str">
        <v>After this batch, everyone has held the A (lead) slot once.</v>
      </c>
    </row>
    <row r="11">
      <c r="A11">
        <v>5</v>
      </c>
      <c r="B11" s="1">
        <f>$B$3+$B$4*(ROW()-7)</f>
        <v>46347</v>
      </c>
      <c r="C11" t="str">
        <f>CHOOSE(MOD(ROW()-7+0,4)+1,"Marie T.","Devin A.","Jess W.","Roger S.")</f>
        <v>Marie T.</v>
      </c>
      <c r="D11" t="str">
        <f>CHOOSE(MOD(ROW()-7+1,4)+1,"Marie T.","Devin A.","Jess W.","Roger S.")</f>
        <v>Devin A.</v>
      </c>
      <c r="E11" t="str">
        <f>CHOOSE(MOD(ROW()-7+2,4)+1,"Marie T.","Devin A.","Jess W.","Roger S.")</f>
        <v>Jess W.</v>
      </c>
      <c r="F11" t="str">
        <f>CHOOSE(MOD(ROW()-7+3,4)+1,"Marie T.","Devin A.","Jess W.","Roger S.")</f>
        <v>Roger S.</v>
      </c>
      <c r="G11" t="str">
        <v/>
      </c>
    </row>
    <row r="12">
      <c r="A12">
        <v>6</v>
      </c>
      <c r="B12" s="1">
        <f>$B$3+$B$4*(ROW()-7)</f>
        <v>46389</v>
      </c>
      <c r="C12" t="str">
        <f>CHOOSE(MOD(ROW()-7+0,4)+1,"Marie T.","Devin A.","Jess W.","Roger S.")</f>
        <v>Devin A.</v>
      </c>
      <c r="D12" t="str">
        <f>CHOOSE(MOD(ROW()-7+1,4)+1,"Marie T.","Devin A.","Jess W.","Roger S.")</f>
        <v>Jess W.</v>
      </c>
      <c r="E12" t="str">
        <f>CHOOSE(MOD(ROW()-7+2,4)+1,"Marie T.","Devin A.","Jess W.","Roger S.")</f>
        <v>Roger S.</v>
      </c>
      <c r="F12" t="str">
        <f>CHOOSE(MOD(ROW()-7+3,4)+1,"Marie T.","Devin A.","Jess W.","Roger S.")</f>
        <v>Marie T.</v>
      </c>
      <c r="G12" t="str">
        <v/>
      </c>
    </row>
    <row r="13">
      <c r="A13">
        <v>7</v>
      </c>
      <c r="B13" s="1">
        <f>$B$3+$B$4*(ROW()-7)</f>
        <v>46431</v>
      </c>
      <c r="C13" t="str">
        <f>CHOOSE(MOD(ROW()-7+0,4)+1,"Marie T.","Devin A.","Jess W.","Roger S.")</f>
        <v>Jess W.</v>
      </c>
      <c r="D13" t="str">
        <f>CHOOSE(MOD(ROW()-7+1,4)+1,"Marie T.","Devin A.","Jess W.","Roger S.")</f>
        <v>Roger S.</v>
      </c>
      <c r="E13" t="str">
        <f>CHOOSE(MOD(ROW()-7+2,4)+1,"Marie T.","Devin A.","Jess W.","Roger S.")</f>
        <v>Marie T.</v>
      </c>
      <c r="F13" t="str">
        <f>CHOOSE(MOD(ROW()-7+3,4)+1,"Marie T.","Devin A.","Jess W.","Roger S.")</f>
        <v>Devin A.</v>
      </c>
      <c r="G13" t="str">
        <v/>
      </c>
    </row>
    <row r="14">
      <c r="A14">
        <v>8</v>
      </c>
      <c r="B14" s="1">
        <f>$B$3+$B$4*(ROW()-7)</f>
        <v>46473</v>
      </c>
      <c r="C14" t="str">
        <f>CHOOSE(MOD(ROW()-7+0,4)+1,"Marie T.","Devin A.","Jess W.","Roger S.")</f>
        <v>Roger S.</v>
      </c>
      <c r="D14" t="str">
        <f>CHOOSE(MOD(ROW()-7+1,4)+1,"Marie T.","Devin A.","Jess W.","Roger S.")</f>
        <v>Marie T.</v>
      </c>
      <c r="E14" t="str">
        <f>CHOOSE(MOD(ROW()-7+2,4)+1,"Marie T.","Devin A.","Jess W.","Roger S.")</f>
        <v>Devin A.</v>
      </c>
      <c r="F14" t="str">
        <f>CHOOSE(MOD(ROW()-7+3,4)+1,"Marie T.","Devin A.","Jess W.","Roger S.")</f>
        <v>Jess W.</v>
      </c>
      <c r="G14" t="str">
        <v>Mid-year check: confirm all WSIB certificates are still current.</v>
      </c>
    </row>
    <row r="15">
      <c r="A15">
        <v>9</v>
      </c>
      <c r="B15" s="1">
        <f>$B$3+$B$4*(ROW()-7)</f>
        <v>46515</v>
      </c>
      <c r="C15" t="str">
        <f>CHOOSE(MOD(ROW()-7+0,4)+1,"Marie T.","Devin A.","Jess W.","Roger S.")</f>
        <v>Marie T.</v>
      </c>
      <c r="D15" t="str">
        <f>CHOOSE(MOD(ROW()-7+1,4)+1,"Marie T.","Devin A.","Jess W.","Roger S.")</f>
        <v>Devin A.</v>
      </c>
      <c r="E15" t="str">
        <f>CHOOSE(MOD(ROW()-7+2,4)+1,"Marie T.","Devin A.","Jess W.","Roger S.")</f>
        <v>Jess W.</v>
      </c>
      <c r="F15" t="str">
        <f>CHOOSE(MOD(ROW()-7+3,4)+1,"Marie T.","Devin A.","Jess W.","Roger S.")</f>
        <v>Roger S.</v>
      </c>
      <c r="G15" t="str">
        <v/>
      </c>
    </row>
    <row r="16">
      <c r="A16">
        <v>10</v>
      </c>
      <c r="B16" s="1">
        <f>$B$3+$B$4*(ROW()-7)</f>
        <v>46557</v>
      </c>
      <c r="C16" t="str">
        <f>CHOOSE(MOD(ROW()-7+0,4)+1,"Marie T.","Devin A.","Jess W.","Roger S.")</f>
        <v>Devin A.</v>
      </c>
      <c r="D16" t="str">
        <f>CHOOSE(MOD(ROW()-7+1,4)+1,"Marie T.","Devin A.","Jess W.","Roger S.")</f>
        <v>Jess W.</v>
      </c>
      <c r="E16" t="str">
        <f>CHOOSE(MOD(ROW()-7+2,4)+1,"Marie T.","Devin A.","Jess W.","Roger S.")</f>
        <v>Roger S.</v>
      </c>
      <c r="F16" t="str">
        <f>CHOOSE(MOD(ROW()-7+3,4)+1,"Marie T.","Devin A.","Jess W.","Roger S.")</f>
        <v>Marie T.</v>
      </c>
      <c r="G16" t="str">
        <v/>
      </c>
    </row>
    <row r="17">
      <c r="A17">
        <v>11</v>
      </c>
      <c r="B17" s="1">
        <f>$B$3+$B$4*(ROW()-7)</f>
        <v>46599</v>
      </c>
      <c r="C17" t="str">
        <f>CHOOSE(MOD(ROW()-7+0,4)+1,"Marie T.","Devin A.","Jess W.","Roger S.")</f>
        <v>Jess W.</v>
      </c>
      <c r="D17" t="str">
        <f>CHOOSE(MOD(ROW()-7+1,4)+1,"Marie T.","Devin A.","Jess W.","Roger S.")</f>
        <v>Roger S.</v>
      </c>
      <c r="E17" t="str">
        <f>CHOOSE(MOD(ROW()-7+2,4)+1,"Marie T.","Devin A.","Jess W.","Roger S.")</f>
        <v>Marie T.</v>
      </c>
      <c r="F17" t="str">
        <f>CHOOSE(MOD(ROW()-7+3,4)+1,"Marie T.","Devin A.","Jess W.","Roger S.")</f>
        <v>Devin A.</v>
      </c>
      <c r="G17" t="str">
        <v/>
      </c>
    </row>
    <row r="18">
      <c r="A18">
        <v>12</v>
      </c>
      <c r="B18" s="1">
        <f>$B$3+$B$4*(ROW()-7)</f>
        <v>46641</v>
      </c>
      <c r="C18" t="str">
        <f>CHOOSE(MOD(ROW()-7+0,4)+1,"Marie T.","Devin A.","Jess W.","Roger S.")</f>
        <v>Roger S.</v>
      </c>
      <c r="D18" t="str">
        <f>CHOOSE(MOD(ROW()-7+1,4)+1,"Marie T.","Devin A.","Jess W.","Roger S.")</f>
        <v>Marie T.</v>
      </c>
      <c r="E18" t="str">
        <f>CHOOSE(MOD(ROW()-7+2,4)+1,"Marie T.","Devin A.","Jess W.","Roger S.")</f>
        <v>Devin A.</v>
      </c>
      <c r="F18" t="str">
        <f>CHOOSE(MOD(ROW()-7+3,4)+1,"Marie T.","Devin A.","Jess W.","Roger S.")</f>
        <v>Jess W.</v>
      </c>
      <c r="G18" t="str">
        <v>End of 12-batch cycle — review roster and confirm all compliance docs are renewed.</v>
      </c>
    </row>
    <row r="20">
      <c r="A20" t="str">
        <v>HOW TO USE THIS SHEET</v>
      </c>
    </row>
    <row r="21">
      <c r="A21" t="str">
        <v>1. Change cell B3 (Start Date) — all 12 batch date rows recalculate automatically.</v>
      </c>
    </row>
    <row r="22">
      <c r="A22" t="str">
        <v>2. Change cell B4 (Batch interval) if batches run more or less frequently than every 6 weeks.</v>
      </c>
    </row>
    <row r="23">
      <c r="A23" t="str">
        <v>3. If a person is unavailable, swap them with whoever is in column F (D – Off-rotation) for that batch.</v>
      </c>
    </row>
    <row r="24">
      <c r="A24" t="str">
        <v>4. Before each batch confirm: WSIB clearance current for A, B, C; SIN + banking on file for A and B.</v>
      </c>
    </row>
    <row r="25">
      <c r="A25" t="str">
        <v>5. After each batch, add the actual hours and pay to the Batch History sheet.</v>
      </c>
    </row>
    <row r="26">
      <c r="A26" t="str">
        <v/>
      </c>
    </row>
    <row r="27">
      <c r="A27" t="str">
        <v>ROTATION LOGIC</v>
      </c>
    </row>
    <row r="28">
      <c r="A28" t="str">
        <v>Each batch shifts all four positions forward by one. After 4 batches, everyone has held the A (lead) slot once.</v>
      </c>
    </row>
    <row r="29">
      <c r="A29" t="str">
        <v>Formula used in columns C–F: =CHOOSE(MOD(ROW()-7+[slot_offset],4)+1,"Marie T.","Devin A.","Jess W.","Roger S.")</v>
      </c>
    </row>
    <row r="30">
      <c r="A30" t="str">
        <v>To add a fifth person: update the CHOOSE formulas in columns C–F and change the MOD divisor from 4 to 5.</v>
      </c>
    </row>
  </sheetData>
  <ignoredErrors>
    <ignoredError numberStoredAsText="1" sqref="A1:G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Roster</vt:lpstr>
      <vt:lpstr>Batch History</vt:lpstr>
      <vt:lpstr>Rotation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