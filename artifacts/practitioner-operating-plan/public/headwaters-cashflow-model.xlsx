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-Flow Model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46.83203125" customWidth="1"/>
    <col min="2" max="2" width="16.83203125" customWidth="1"/>
    <col min="3" max="3" width="56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>
      <c r="A1" t="str">
        <v>Headwaters Cash-Flow Model  |  CFO Input Workbook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Yellow cells are INPUTS — edit them and every formula below recalculates automatically. Scenario 1 revenue uses the editable payment-lag cell (B13); Scenarios 2–3 are fixed stress tests.</v>
      </c>
    </row>
    <row r="4">
      <c r="A4" t="str">
        <v>INPUTS — Edit these yellow cells to model your scenario</v>
      </c>
    </row>
    <row r="5">
      <c r="A5" t="str">
        <v>Input</v>
      </c>
      <c r="B5" t="str">
        <v>Default value</v>
      </c>
      <c r="C5" t="str">
        <v>Notes</v>
      </c>
    </row>
    <row r="6">
      <c r="A6" t="str">
        <v>Practitioner hourly rate ($/hr)</v>
      </c>
      <c r="B6">
        <v>150</v>
      </c>
      <c r="C6" t="str">
        <v>$/hr — loaded monthly take</v>
      </c>
    </row>
    <row r="7">
      <c r="A7" t="str">
        <v>Tyler subcontract hourly rate ($/hr)</v>
      </c>
      <c r="B7">
        <v>70</v>
      </c>
      <c r="C7" t="str">
        <v>$/hr — two hands through Tyler's business</v>
      </c>
    </row>
    <row r="8">
      <c r="A8" t="str">
        <v>Practitioner hours / week</v>
      </c>
      <c r="B8">
        <v>37</v>
      </c>
      <c r="C8" t="str">
        <v>hrs/wk → × 4.333 = monthly hours</v>
      </c>
    </row>
    <row r="9">
      <c r="A9" t="str">
        <v>Tyler hours / week (combined, both hands)</v>
      </c>
      <c r="B9">
        <v>37</v>
      </c>
      <c r="C9" t="str">
        <v>hrs/wk combined → × 4.333 = monthly hours</v>
      </c>
    </row>
    <row r="10">
      <c r="A10" t="str">
        <v>IT / Support ($/mo)</v>
      </c>
      <c r="B10">
        <v>900</v>
      </c>
      <c r="C10" t="str">
        <v>Servers, privacy phones, stack — partial allocation</v>
      </c>
    </row>
    <row r="11">
      <c r="A11" t="str">
        <v>Overhead ($/mo)</v>
      </c>
      <c r="B11">
        <v>5000</v>
      </c>
      <c r="C11" t="str">
        <v>Agency overhead — insurance, SaaS, admin</v>
      </c>
    </row>
    <row r="12">
      <c r="A12" t="str">
        <v>Contract monthly value ($/mo)</v>
      </c>
      <c r="B12">
        <v>90000</v>
      </c>
      <c r="C12" t="str">
        <v>What Deer Lake pays each month</v>
      </c>
    </row>
    <row r="13">
      <c r="A13" t="str">
        <v>Payment lag — base scenario (months)</v>
      </c>
      <c r="B13">
        <v>2</v>
      </c>
      <c r="C13" t="str">
        <v>2 = net-60 · 3 = net-90 · 4 = net-120 — drives Scenario 1</v>
      </c>
    </row>
    <row r="15">
      <c r="A15" t="str">
        <v>DERIVED TOTALS — Calculated from inputs above</v>
      </c>
    </row>
    <row r="16">
      <c r="A16" t="str">
        <v>Line item</v>
      </c>
      <c r="B16" t="str">
        <v>Monthly cost</v>
      </c>
      <c r="C16" t="str">
        <v>Formula / notes</v>
      </c>
    </row>
    <row r="17">
      <c r="A17" t="str">
        <v>Practitioner monthly cost</v>
      </c>
      <c r="B17">
        <f>$B$6*$B$8*4.333</f>
        <v>24048</v>
      </c>
      <c r="C17" t="str">
        <v>rate × hrs/wk × 4.333 (150 × 37 × 4.333 ≈ $24,048 at defaults)</v>
      </c>
    </row>
    <row r="18">
      <c r="A18" t="str">
        <v>Tyler monthly cost (two hands combined)</v>
      </c>
      <c r="B18">
        <f>$B$7*$B$9*4.333</f>
        <v>11222</v>
      </c>
      <c r="C18" t="str">
        <v>rate × hrs/wk × 4.333 (70 × 37 × 4.333 ≈ $11,222 at defaults)</v>
      </c>
    </row>
    <row r="19">
      <c r="A19" t="str">
        <v>IT / Support</v>
      </c>
      <c r="B19">
        <f>$B$10</f>
        <v>900</v>
      </c>
      <c r="C19" t="str">
        <v>from input above</v>
      </c>
    </row>
    <row r="20">
      <c r="A20" t="str">
        <v>Overhead</v>
      </c>
      <c r="B20">
        <f>$B$11</f>
        <v>5000</v>
      </c>
      <c r="C20" t="str">
        <v>from input above</v>
      </c>
    </row>
    <row r="21">
      <c r="A21" t="str">
        <v>TOTAL MONTHLY OPERATING COST</v>
      </c>
      <c r="B21">
        <f>SUM(B17:B20)</f>
        <v>41170</v>
      </c>
      <c r="C21" t="str">
        <v>Defaults: $41,170/mo · annual run rate $494,040/yr</v>
      </c>
    </row>
    <row r="23">
      <c r="A23" t="str">
        <v>Day-one bridge capital required</v>
      </c>
      <c r="B23">
        <f>B21*2+42000</f>
        <v>124340</v>
      </c>
      <c r="C23" t="str">
        <v>2 × monthly cost + $42,000 tech CAPEX. Defaults: $124,340. Recovered when net-60 invoices clear.</v>
      </c>
    </row>
    <row r="25">
      <c r="A25" t="str">
        <v>SCENARIO 1 — Base (payment lag driven by input B13, default net-60)</v>
      </c>
    </row>
    <row r="26">
      <c r="A26" t="str">
        <v>Row</v>
      </c>
      <c r="B26" t="str">
        <v>M1</v>
      </c>
      <c r="C26" t="str">
        <v>M2</v>
      </c>
      <c r="D26" t="str">
        <v>M3</v>
      </c>
      <c r="E26" t="str">
        <v>M4</v>
      </c>
      <c r="F26" t="str">
        <v>M5</v>
      </c>
      <c r="G26" t="str">
        <v>M6</v>
      </c>
      <c r="H26" t="str">
        <v>M7</v>
      </c>
      <c r="I26" t="str">
        <v>M8</v>
      </c>
      <c r="J26" t="str">
        <v>M9</v>
      </c>
      <c r="K26" t="str">
        <v>M10</v>
      </c>
      <c r="L26" t="str">
        <v>M11</v>
      </c>
      <c r="M26" t="str">
        <v>M12</v>
      </c>
    </row>
    <row r="27">
      <c r="A27" t="str">
        <v>Revenue (contract inflow)</v>
      </c>
      <c r="B27">
        <f>IF(1&gt;$B$13,$B$12,0)</f>
        <v>0</v>
      </c>
      <c r="C27">
        <f>IF(2&gt;$B$13,$B$12,0)</f>
        <v>0</v>
      </c>
      <c r="D27">
        <f>IF(3&gt;$B$13,$B$12,0)</f>
        <v>90000</v>
      </c>
      <c r="E27">
        <f>IF(4&gt;$B$13,$B$12,0)</f>
        <v>90000</v>
      </c>
      <c r="F27">
        <f>IF(5&gt;$B$13,$B$12,0)</f>
        <v>90000</v>
      </c>
      <c r="G27">
        <f>IF(6&gt;$B$13,$B$12,0)</f>
        <v>90000</v>
      </c>
      <c r="H27">
        <f>IF(7&gt;$B$13,$B$12,0)</f>
        <v>90000</v>
      </c>
      <c r="I27">
        <f>IF(8&gt;$B$13,$B$12,0)</f>
        <v>90000</v>
      </c>
      <c r="J27">
        <f>IF(9&gt;$B$13,$B$12,0)</f>
        <v>90000</v>
      </c>
      <c r="K27">
        <f>IF(10&gt;$B$13,$B$12,0)</f>
        <v>90000</v>
      </c>
      <c r="L27">
        <f>IF(11&gt;$B$13,$B$12,0)</f>
        <v>90000</v>
      </c>
      <c r="M27">
        <f>IF(12&gt;$B$13,$B$12,0)</f>
        <v>90000</v>
      </c>
    </row>
    <row r="28">
      <c r="A28" t="str">
        <v>Operating cost (outflow)</v>
      </c>
      <c r="B28">
        <f>$B$21</f>
        <v>41170</v>
      </c>
      <c r="C28">
        <f>$B$21</f>
        <v>41170</v>
      </c>
      <c r="D28">
        <f>$B$21</f>
        <v>41170</v>
      </c>
      <c r="E28">
        <f>$B$21</f>
        <v>41170</v>
      </c>
      <c r="F28">
        <f>$B$21</f>
        <v>41170</v>
      </c>
      <c r="G28">
        <f>$B$21</f>
        <v>41170</v>
      </c>
      <c r="H28">
        <f>$B$21</f>
        <v>41170</v>
      </c>
      <c r="I28">
        <f>$B$21</f>
        <v>41170</v>
      </c>
      <c r="J28">
        <f>$B$21</f>
        <v>41170</v>
      </c>
      <c r="K28">
        <f>$B$21</f>
        <v>41170</v>
      </c>
      <c r="L28">
        <f>$B$21</f>
        <v>41170</v>
      </c>
      <c r="M28">
        <f>$B$21</f>
        <v>41170</v>
      </c>
    </row>
    <row r="29">
      <c r="A29" t="str">
        <v>Net cash (inflow − outflow)</v>
      </c>
      <c r="B29">
        <f>B27-B28</f>
        <v>-41170</v>
      </c>
      <c r="C29">
        <f>C27-C28</f>
        <v>-41170</v>
      </c>
      <c r="D29">
        <f>D27-D28</f>
        <v>48830</v>
      </c>
      <c r="E29">
        <f>E27-E28</f>
        <v>48830</v>
      </c>
      <c r="F29">
        <f>F27-F28</f>
        <v>48830</v>
      </c>
      <c r="G29">
        <f>G27-G28</f>
        <v>48830</v>
      </c>
      <c r="H29">
        <f>H27-H28</f>
        <v>48830</v>
      </c>
      <c r="I29">
        <f>I27-I28</f>
        <v>48830</v>
      </c>
      <c r="J29">
        <f>J27-J28</f>
        <v>48830</v>
      </c>
      <c r="K29">
        <f>K27-K28</f>
        <v>48830</v>
      </c>
      <c r="L29">
        <f>L27-L28</f>
        <v>48830</v>
      </c>
      <c r="M29">
        <f>M27-M28</f>
        <v>48830</v>
      </c>
    </row>
    <row r="30">
      <c r="A30" t="str">
        <v>Cumulative cash position</v>
      </c>
      <c r="B30">
        <f>-$B$23+B29</f>
        <v>-165510</v>
      </c>
      <c r="C30">
        <f>B30+C29</f>
        <v>-206680</v>
      </c>
      <c r="D30">
        <f>C30+D29</f>
        <v>-157850</v>
      </c>
      <c r="E30">
        <f>D30+E29</f>
        <v>-109020</v>
      </c>
      <c r="F30">
        <f>E30+F29</f>
        <v>-60190</v>
      </c>
      <c r="G30">
        <f>F30+G29</f>
        <v>-11360</v>
      </c>
      <c r="H30">
        <f>G30+H29</f>
        <v>37470</v>
      </c>
      <c r="I30">
        <f>H30+I29</f>
        <v>86300</v>
      </c>
      <c r="J30">
        <f>I30+J29</f>
        <v>135130</v>
      </c>
      <c r="K30">
        <f>J30+K29</f>
        <v>183960</v>
      </c>
      <c r="L30">
        <f>K30+L29</f>
        <v>232790</v>
      </c>
      <c r="M30">
        <f>L30+M29</f>
        <v>281620</v>
      </c>
    </row>
    <row r="31">
      <c r="A31" t="str">
        <v>Bridge $124,340 deployed Day 0. Revenue begins M3. Change $B$13 in Inputs to shift when revenue starts.</v>
      </c>
    </row>
    <row r="33">
      <c r="A33" t="str">
        <v>SCENARIO 2 — net-90 stress test (payment lag: 3 months — fixed)</v>
      </c>
    </row>
    <row r="34">
      <c r="A34" t="str">
        <v>Row</v>
      </c>
      <c r="B34" t="str">
        <v>M1</v>
      </c>
      <c r="C34" t="str">
        <v>M2</v>
      </c>
      <c r="D34" t="str">
        <v>M3</v>
      </c>
      <c r="E34" t="str">
        <v>M4</v>
      </c>
      <c r="F34" t="str">
        <v>M5</v>
      </c>
      <c r="G34" t="str">
        <v>M6</v>
      </c>
      <c r="H34" t="str">
        <v>M7</v>
      </c>
      <c r="I34" t="str">
        <v>M8</v>
      </c>
      <c r="J34" t="str">
        <v>M9</v>
      </c>
      <c r="K34" t="str">
        <v>M10</v>
      </c>
      <c r="L34" t="str">
        <v>M11</v>
      </c>
      <c r="M34" t="str">
        <v>M12</v>
      </c>
    </row>
    <row r="35">
      <c r="A35" t="str">
        <v>Revenue (contract inflow)</v>
      </c>
      <c r="B35">
        <f>IF(1&gt;3,$B$12,0)</f>
        <v>0</v>
      </c>
      <c r="C35">
        <f>IF(2&gt;3,$B$12,0)</f>
        <v>0</v>
      </c>
      <c r="D35">
        <f>IF(3&gt;3,$B$12,0)</f>
        <v>0</v>
      </c>
      <c r="E35">
        <f>IF(4&gt;3,$B$12,0)</f>
        <v>90000</v>
      </c>
      <c r="F35">
        <f>IF(5&gt;3,$B$12,0)</f>
        <v>90000</v>
      </c>
      <c r="G35">
        <f>IF(6&gt;3,$B$12,0)</f>
        <v>90000</v>
      </c>
      <c r="H35">
        <f>IF(7&gt;3,$B$12,0)</f>
        <v>90000</v>
      </c>
      <c r="I35">
        <f>IF(8&gt;3,$B$12,0)</f>
        <v>90000</v>
      </c>
      <c r="J35">
        <f>IF(9&gt;3,$B$12,0)</f>
        <v>90000</v>
      </c>
      <c r="K35">
        <f>IF(10&gt;3,$B$12,0)</f>
        <v>90000</v>
      </c>
      <c r="L35">
        <f>IF(11&gt;3,$B$12,0)</f>
        <v>90000</v>
      </c>
      <c r="M35">
        <f>IF(12&gt;3,$B$12,0)</f>
        <v>90000</v>
      </c>
    </row>
    <row r="36">
      <c r="A36" t="str">
        <v>Operating cost (outflow)</v>
      </c>
      <c r="B36">
        <f>$B$21</f>
        <v>41170</v>
      </c>
      <c r="C36">
        <f>$B$21</f>
        <v>41170</v>
      </c>
      <c r="D36">
        <f>$B$21</f>
        <v>41170</v>
      </c>
      <c r="E36">
        <f>$B$21</f>
        <v>41170</v>
      </c>
      <c r="F36">
        <f>$B$21</f>
        <v>41170</v>
      </c>
      <c r="G36">
        <f>$B$21</f>
        <v>41170</v>
      </c>
      <c r="H36">
        <f>$B$21</f>
        <v>41170</v>
      </c>
      <c r="I36">
        <f>$B$21</f>
        <v>41170</v>
      </c>
      <c r="J36">
        <f>$B$21</f>
        <v>41170</v>
      </c>
      <c r="K36">
        <f>$B$21</f>
        <v>41170</v>
      </c>
      <c r="L36">
        <f>$B$21</f>
        <v>41170</v>
      </c>
      <c r="M36">
        <f>$B$21</f>
        <v>41170</v>
      </c>
    </row>
    <row r="37">
      <c r="A37" t="str">
        <v>Net cash (inflow − outflow)</v>
      </c>
      <c r="B37">
        <f>B35-B36</f>
        <v>-41170</v>
      </c>
      <c r="C37">
        <f>C35-C36</f>
        <v>-41170</v>
      </c>
      <c r="D37">
        <f>D35-D36</f>
        <v>-41170</v>
      </c>
      <c r="E37">
        <f>E35-E36</f>
        <v>48830</v>
      </c>
      <c r="F37">
        <f>F35-F36</f>
        <v>48830</v>
      </c>
      <c r="G37">
        <f>G35-G36</f>
        <v>48830</v>
      </c>
      <c r="H37">
        <f>H35-H36</f>
        <v>48830</v>
      </c>
      <c r="I37">
        <f>I35-I36</f>
        <v>48830</v>
      </c>
      <c r="J37">
        <f>J35-J36</f>
        <v>48830</v>
      </c>
      <c r="K37">
        <f>K35-K36</f>
        <v>48830</v>
      </c>
      <c r="L37">
        <f>L35-L36</f>
        <v>48830</v>
      </c>
      <c r="M37">
        <f>M35-M36</f>
        <v>48830</v>
      </c>
    </row>
    <row r="38">
      <c r="A38" t="str">
        <v>Cumulative cash position</v>
      </c>
      <c r="B38">
        <f>-$B$23+B37</f>
        <v>-165510</v>
      </c>
      <c r="C38">
        <f>B38+C37</f>
        <v>-206680</v>
      </c>
      <c r="D38">
        <f>C38+D37</f>
        <v>-247850</v>
      </c>
      <c r="E38">
        <f>D38+E37</f>
        <v>-199020</v>
      </c>
      <c r="F38">
        <f>E38+F37</f>
        <v>-150190</v>
      </c>
      <c r="G38">
        <f>F38+G37</f>
        <v>-101360</v>
      </c>
      <c r="H38">
        <f>G38+H37</f>
        <v>-52530</v>
      </c>
      <c r="I38">
        <f>H38+I37</f>
        <v>-3700</v>
      </c>
      <c r="J38">
        <f>I38+J37</f>
        <v>45130</v>
      </c>
      <c r="K38">
        <f>J38+K37</f>
        <v>93960</v>
      </c>
      <c r="L38">
        <f>K38+L37</f>
        <v>142790</v>
      </c>
      <c r="M38">
        <f>L38+M37</f>
        <v>191620</v>
      </c>
    </row>
    <row r="39">
      <c r="A39" t="str">
        <v>Bridge $124,340 deployed Day 0. Revenue begins M4. Lag is fixed for this stress-test scenario.</v>
      </c>
    </row>
    <row r="41">
      <c r="A41" t="str">
        <v>SCENARIO 3 — net-120 stress test (payment lag: 4 months — fixed)</v>
      </c>
    </row>
    <row r="42">
      <c r="A42" t="str">
        <v>Row</v>
      </c>
      <c r="B42" t="str">
        <v>M1</v>
      </c>
      <c r="C42" t="str">
        <v>M2</v>
      </c>
      <c r="D42" t="str">
        <v>M3</v>
      </c>
      <c r="E42" t="str">
        <v>M4</v>
      </c>
      <c r="F42" t="str">
        <v>M5</v>
      </c>
      <c r="G42" t="str">
        <v>M6</v>
      </c>
      <c r="H42" t="str">
        <v>M7</v>
      </c>
      <c r="I42" t="str">
        <v>M8</v>
      </c>
      <c r="J42" t="str">
        <v>M9</v>
      </c>
      <c r="K42" t="str">
        <v>M10</v>
      </c>
      <c r="L42" t="str">
        <v>M11</v>
      </c>
      <c r="M42" t="str">
        <v>M12</v>
      </c>
    </row>
    <row r="43">
      <c r="A43" t="str">
        <v>Revenue (contract inflow)</v>
      </c>
      <c r="B43">
        <f>IF(1&gt;4,$B$12,0)</f>
        <v>0</v>
      </c>
      <c r="C43">
        <f>IF(2&gt;4,$B$12,0)</f>
        <v>0</v>
      </c>
      <c r="D43">
        <f>IF(3&gt;4,$B$12,0)</f>
        <v>0</v>
      </c>
      <c r="E43">
        <f>IF(4&gt;4,$B$12,0)</f>
        <v>0</v>
      </c>
      <c r="F43">
        <f>IF(5&gt;4,$B$12,0)</f>
        <v>90000</v>
      </c>
      <c r="G43">
        <f>IF(6&gt;4,$B$12,0)</f>
        <v>90000</v>
      </c>
      <c r="H43">
        <f>IF(7&gt;4,$B$12,0)</f>
        <v>90000</v>
      </c>
      <c r="I43">
        <f>IF(8&gt;4,$B$12,0)</f>
        <v>90000</v>
      </c>
      <c r="J43">
        <f>IF(9&gt;4,$B$12,0)</f>
        <v>90000</v>
      </c>
      <c r="K43">
        <f>IF(10&gt;4,$B$12,0)</f>
        <v>90000</v>
      </c>
      <c r="L43">
        <f>IF(11&gt;4,$B$12,0)</f>
        <v>90000</v>
      </c>
      <c r="M43">
        <f>IF(12&gt;4,$B$12,0)</f>
        <v>90000</v>
      </c>
    </row>
    <row r="44">
      <c r="A44" t="str">
        <v>Operating cost (outflow)</v>
      </c>
      <c r="B44">
        <f>$B$21</f>
        <v>41170</v>
      </c>
      <c r="C44">
        <f>$B$21</f>
        <v>41170</v>
      </c>
      <c r="D44">
        <f>$B$21</f>
        <v>41170</v>
      </c>
      <c r="E44">
        <f>$B$21</f>
        <v>41170</v>
      </c>
      <c r="F44">
        <f>$B$21</f>
        <v>41170</v>
      </c>
      <c r="G44">
        <f>$B$21</f>
        <v>41170</v>
      </c>
      <c r="H44">
        <f>$B$21</f>
        <v>41170</v>
      </c>
      <c r="I44">
        <f>$B$21</f>
        <v>41170</v>
      </c>
      <c r="J44">
        <f>$B$21</f>
        <v>41170</v>
      </c>
      <c r="K44">
        <f>$B$21</f>
        <v>41170</v>
      </c>
      <c r="L44">
        <f>$B$21</f>
        <v>41170</v>
      </c>
      <c r="M44">
        <f>$B$21</f>
        <v>41170</v>
      </c>
    </row>
    <row r="45">
      <c r="A45" t="str">
        <v>Net cash (inflow − outflow)</v>
      </c>
      <c r="B45">
        <f>B43-B44</f>
        <v>-41170</v>
      </c>
      <c r="C45">
        <f>C43-C44</f>
        <v>-41170</v>
      </c>
      <c r="D45">
        <f>D43-D44</f>
        <v>-41170</v>
      </c>
      <c r="E45">
        <f>E43-E44</f>
        <v>-41170</v>
      </c>
      <c r="F45">
        <f>F43-F44</f>
        <v>48830</v>
      </c>
      <c r="G45">
        <f>G43-G44</f>
        <v>48830</v>
      </c>
      <c r="H45">
        <f>H43-H44</f>
        <v>48830</v>
      </c>
      <c r="I45">
        <f>I43-I44</f>
        <v>48830</v>
      </c>
      <c r="J45">
        <f>J43-J44</f>
        <v>48830</v>
      </c>
      <c r="K45">
        <f>K43-K44</f>
        <v>48830</v>
      </c>
      <c r="L45">
        <f>L43-L44</f>
        <v>48830</v>
      </c>
      <c r="M45">
        <f>M43-M44</f>
        <v>48830</v>
      </c>
    </row>
    <row r="46">
      <c r="A46" t="str">
        <v>Cumulative cash position</v>
      </c>
      <c r="B46">
        <f>-$B$23+B45</f>
        <v>-165510</v>
      </c>
      <c r="C46">
        <f>B46+C45</f>
        <v>-206680</v>
      </c>
      <c r="D46">
        <f>C46+D45</f>
        <v>-247850</v>
      </c>
      <c r="E46">
        <f>D46+E45</f>
        <v>-289020</v>
      </c>
      <c r="F46">
        <f>E46+F45</f>
        <v>-240190</v>
      </c>
      <c r="G46">
        <f>F46+G45</f>
        <v>-191360</v>
      </c>
      <c r="H46">
        <f>G46+H45</f>
        <v>-142530</v>
      </c>
      <c r="I46">
        <f>H46+I45</f>
        <v>-93700</v>
      </c>
      <c r="J46">
        <f>I46+J45</f>
        <v>-44870</v>
      </c>
      <c r="K46">
        <f>J46+K45</f>
        <v>3960</v>
      </c>
      <c r="L46">
        <f>K46+L45</f>
        <v>52790</v>
      </c>
      <c r="M46">
        <f>L46+M45</f>
        <v>101620</v>
      </c>
    </row>
    <row r="47">
      <c r="A47" t="str">
        <v>Bridge $124,340 deployed Day 0. Revenue begins M5. Lag is fixed for this stress-test scenario.</v>
      </c>
    </row>
  </sheetData>
  <ignoredErrors>
    <ignoredError numberStoredAsText="1" sqref="A1:N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Data>
    <row r="1">
      <c r="A1" t="str">
        <v>Headwaters Cash-Flow Model — README</v>
      </c>
    </row>
    <row r="2">
      <c r="A2" t="str">
        <v/>
      </c>
    </row>
    <row r="3">
      <c r="A3" t="str">
        <v>PURPOSE</v>
      </c>
    </row>
    <row r="4">
      <c r="A4" t="str">
        <v>This workbook lets the contractor's CFO stress-test the financial model</v>
      </c>
    </row>
    <row r="5">
      <c r="A5" t="str">
        <v>without being locked into the static numbers in the operating-plan deck.</v>
      </c>
    </row>
    <row r="6">
      <c r="A6" t="str">
        <v/>
      </c>
    </row>
    <row r="7">
      <c r="A7" t="str">
        <v>HOW TO USE</v>
      </c>
    </row>
    <row r="8">
      <c r="A8" t="str">
        <v>1. Go to the 'Cash-Flow Model' tab.</v>
      </c>
    </row>
    <row r="9">
      <c r="A9" t="str">
        <v>2. Edit any yellow cell (rates, hours, contract value, payment lag).</v>
      </c>
    </row>
    <row r="10">
      <c r="A10" t="str">
        <v>3. All derived totals and 12-month scenario tables recalculate automatically.</v>
      </c>
    </row>
    <row r="11">
      <c r="A11" t="str">
        <v/>
      </c>
    </row>
    <row r="12">
      <c r="A12" t="str">
        <v>INPUT CELLS (column B, yellow)</v>
      </c>
    </row>
    <row r="13">
      <c r="A13" t="str">
        <v xml:space="preserve">  B6  Practitioner hourly rate       $150/hr</v>
      </c>
    </row>
    <row r="14">
      <c r="A14" t="str">
        <v xml:space="preserve">  B7  Tyler subcontract hourly rate  $70/hr (two hands through Tyler's business)</v>
      </c>
    </row>
    <row r="15">
      <c r="A15" t="str">
        <v xml:space="preserve">  B8  Practitioner hours/week        37 hrs/wk</v>
      </c>
    </row>
    <row r="16">
      <c r="A16" t="str">
        <v xml:space="preserve">  B9  Tyler hours/week (combined)    37 hrs/wk</v>
      </c>
    </row>
    <row r="17">
      <c r="A17" t="str">
        <v xml:space="preserve">  B10 IT / Support                  $900/mo</v>
      </c>
    </row>
    <row r="18">
      <c r="A18" t="str">
        <v xml:space="preserve">  B11 Overhead                       $5,000/mo</v>
      </c>
    </row>
    <row r="19">
      <c r="A19" t="str">
        <v xml:space="preserve">  B12 Contract monthly value         $90,000/mo</v>
      </c>
    </row>
    <row r="20">
      <c r="A20" t="str">
        <v xml:space="preserve">  B13 Payment lag – base scenario    2 months (2=net-60 · 3=net-90 · 4=net-120)</v>
      </c>
    </row>
    <row r="21">
      <c r="A21" t="str">
        <v/>
      </c>
    </row>
    <row r="22">
      <c r="A22" t="str">
        <v>DEFAULT OPERATING COST  ~$41,170/mo</v>
      </c>
    </row>
    <row r="23">
      <c r="A23" t="str">
        <v/>
      </c>
    </row>
    <row r="24">
      <c r="A24" t="str">
        <v>THREE STRESS-TEST SCENARIOS</v>
      </c>
    </row>
    <row r="25">
      <c r="A25" t="str">
        <v xml:space="preserve">  Scenario 1  Base — payment lag from B13 (default net-60)</v>
      </c>
    </row>
    <row r="26">
      <c r="A26" t="str">
        <v xml:space="preserve">  Scenario 2  net-90 — fixed lag 3 months</v>
      </c>
    </row>
    <row r="27">
      <c r="A27" t="str">
        <v xml:space="preserve">  Scenario 3  net-120 — fixed lag 4 months</v>
      </c>
    </row>
    <row r="28">
      <c r="A28" t="str">
        <v/>
      </c>
    </row>
    <row r="29">
      <c r="A29" t="str">
        <v>NOTE: Verify the total monthly cost is approximately $41,000 before sharing.</v>
      </c>
    </row>
    <row r="30">
      <c r="A30" t="str">
        <v>Source: Headwaters Development Services · Confidential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Cash-Flow Model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